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Suhani\Desktop\BA projects\"/>
    </mc:Choice>
  </mc:AlternateContent>
  <xr:revisionPtr revIDLastSave="0" documentId="8_{81C2102E-604A-4924-A8B6-B4BCCD2F221E}" xr6:coauthVersionLast="47" xr6:coauthVersionMax="47" xr10:uidLastSave="{00000000-0000-0000-0000-000000000000}"/>
  <bookViews>
    <workbookView xWindow="-110" yWindow="-110" windowWidth="19420" windowHeight="10300" activeTab="4" xr2:uid="{039806AC-1E90-4C41-A4F4-78E21A9548D0}"/>
  </bookViews>
  <sheets>
    <sheet name="KPI" sheetId="2" r:id="rId1"/>
    <sheet name="Sheet1" sheetId="4" r:id="rId2"/>
    <sheet name="Gender &amp; Qualification" sheetId="3" r:id="rId3"/>
    <sheet name="Age and marriage" sheetId="7" r:id="rId4"/>
    <sheet name="Dashboard" sheetId="8" r:id="rId5"/>
    <sheet name="Raw" sheetId="1" r:id="rId6"/>
  </sheets>
  <definedNames>
    <definedName name="_xlchart.v1.0" hidden="1">'Gender &amp; Qualification'!$D$56:$D$64</definedName>
    <definedName name="_xlchart.v1.1" hidden="1">'Gender &amp; Qualification'!$E$56:$E$64</definedName>
    <definedName name="_xlchart.v1.10" hidden="1">'Gender &amp; Qualification'!$D$56:$D$64</definedName>
    <definedName name="_xlchart.v1.11" hidden="1">'Gender &amp; Qualification'!$E$56:$E$64</definedName>
    <definedName name="_xlchart.v2.2" hidden="1">'Age and marriage'!$E$18:$E$20</definedName>
    <definedName name="_xlchart.v2.3" hidden="1">'Age and marriage'!$F$18:$F$20</definedName>
    <definedName name="_xlchart.v2.4" hidden="1">'Age and marriage'!$E$18:$E$20</definedName>
    <definedName name="_xlchart.v2.5" hidden="1">'Age and marriage'!$F$18:$F$20</definedName>
    <definedName name="_xlchart.v2.6" hidden="1">'Age and marriage'!$E$18:$E$20</definedName>
    <definedName name="_xlchart.v2.7" hidden="1">'Age and marriage'!$F$18:$F$20</definedName>
    <definedName name="_xlchart.v2.8" hidden="1">'Age and marriage'!$E$18:$E$20</definedName>
    <definedName name="_xlchart.v2.9" hidden="1">'Age and marriage'!$F$18:$F$20</definedName>
    <definedName name="Slicer_Department">#N/A</definedName>
    <definedName name="Slicer_Education_Field">#N/A</definedName>
    <definedName name="Slicer_Gender">#N/A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B7" i="2"/>
  <c r="A7" i="2"/>
  <c r="I6" i="8"/>
  <c r="H6" i="8"/>
  <c r="G6" i="8"/>
  <c r="F20" i="7"/>
  <c r="F19" i="7"/>
  <c r="F18" i="7"/>
  <c r="E57" i="3"/>
  <c r="E59" i="3"/>
  <c r="E61" i="3"/>
  <c r="E63" i="3"/>
  <c r="E58" i="3"/>
  <c r="E60" i="3"/>
  <c r="E62" i="3"/>
  <c r="E64" i="3"/>
  <c r="E56" i="3"/>
  <c r="D7" i="2" l="1"/>
  <c r="E7" i="2"/>
  <c r="J6" i="8"/>
  <c r="K6" i="8"/>
</calcChain>
</file>

<file path=xl/sharedStrings.xml><?xml version="1.0" encoding="utf-8"?>
<sst xmlns="http://schemas.openxmlformats.org/spreadsheetml/2006/main" count="23511" uniqueCount="1570">
  <si>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</si>
  <si>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</si>
  <si>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</si>
  <si>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</si>
  <si>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</si>
  <si>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</si>
  <si>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</si>
  <si>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</si>
  <si>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</si>
  <si>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</si>
  <si>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</si>
  <si>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</si>
  <si>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</si>
  <si>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</si>
  <si>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</si>
  <si>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</si>
  <si>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</si>
  <si>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</si>
  <si>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</si>
  <si>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</si>
  <si>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</si>
  <si>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</si>
  <si>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</si>
  <si>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</si>
  <si>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</si>
  <si>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</si>
  <si>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</si>
  <si>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</si>
  <si>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</si>
  <si>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</si>
  <si>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</si>
  <si>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</si>
  <si>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</si>
  <si>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</si>
  <si>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</si>
  <si>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</si>
  <si>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</si>
  <si>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</si>
  <si>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</si>
  <si>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</si>
  <si>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</si>
  <si>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</si>
  <si>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</si>
  <si>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</si>
  <si>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</si>
  <si>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</si>
  <si>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</si>
  <si>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</si>
  <si>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</si>
  <si>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</si>
  <si>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</si>
  <si>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</si>
  <si>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</si>
  <si>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</si>
  <si>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</si>
  <si>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</si>
  <si>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</si>
  <si>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</si>
  <si>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</si>
  <si>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</si>
  <si>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</si>
  <si>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</si>
  <si>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</si>
  <si>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</si>
  <si>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</si>
  <si>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</si>
  <si>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</si>
  <si>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</si>
  <si>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</si>
  <si>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</si>
  <si>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</si>
  <si>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</si>
  <si>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</si>
  <si>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</si>
  <si>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</si>
  <si>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</si>
  <si>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</si>
  <si>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</si>
  <si>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</si>
  <si>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</si>
  <si>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</si>
  <si>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</si>
  <si>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</si>
  <si>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</si>
  <si>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</si>
  <si>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</si>
  <si>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</si>
  <si>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</si>
  <si>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</si>
  <si>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</si>
  <si>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</si>
  <si>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</si>
  <si>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</si>
  <si>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</si>
  <si>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</si>
  <si>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</si>
  <si>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</si>
  <si>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</si>
  <si>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</si>
  <si>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</si>
  <si>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</si>
  <si>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</si>
  <si>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</si>
  <si>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</si>
  <si>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</si>
  <si>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</si>
  <si>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</si>
  <si>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</si>
  <si>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</si>
  <si>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</si>
  <si>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</si>
  <si>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</si>
  <si>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</si>
  <si>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</si>
  <si>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</si>
  <si>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</si>
  <si>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</si>
  <si>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</si>
  <si>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</si>
  <si>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</si>
  <si>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</si>
  <si>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</si>
  <si>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</si>
  <si>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</si>
  <si>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</si>
  <si>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</si>
  <si>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</si>
  <si>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</si>
  <si>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</si>
  <si>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</si>
  <si>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</si>
  <si>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</si>
  <si>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</si>
  <si>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</si>
  <si>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</si>
  <si>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</si>
  <si>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</si>
  <si>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</si>
  <si>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</si>
  <si>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</si>
  <si>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</si>
  <si>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</si>
  <si>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</si>
  <si>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</si>
  <si>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</si>
  <si>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</si>
  <si>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</si>
  <si>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</si>
  <si>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</si>
  <si>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</si>
  <si>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</si>
  <si>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</si>
  <si>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</si>
  <si>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</si>
  <si>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</si>
  <si>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</si>
  <si>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</si>
  <si>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</si>
  <si>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</si>
  <si>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</si>
  <si>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</si>
  <si>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</si>
  <si>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</si>
  <si>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</si>
  <si>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</si>
  <si>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</si>
  <si>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</si>
  <si>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</si>
  <si>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</si>
  <si>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</si>
  <si>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</si>
  <si>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</si>
  <si>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</si>
  <si>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</si>
  <si>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</si>
  <si>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</si>
  <si>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</si>
  <si>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</si>
  <si>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</si>
  <si>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</si>
  <si>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</si>
  <si>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</si>
  <si>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</si>
  <si>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</si>
  <si>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</si>
  <si>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</si>
  <si>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</si>
  <si>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</si>
  <si>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</si>
  <si>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</si>
  <si>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</si>
  <si>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</si>
  <si>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</si>
  <si>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</si>
  <si>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</si>
  <si>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</si>
  <si>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</si>
  <si>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</si>
  <si>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</si>
  <si>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</si>
  <si>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</si>
  <si>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</si>
  <si>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</si>
  <si>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</si>
  <si>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</si>
  <si>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</si>
  <si>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</si>
  <si>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</si>
  <si>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</si>
  <si>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</si>
  <si>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</si>
  <si>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</si>
  <si>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</si>
  <si>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</si>
  <si>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</si>
  <si>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</si>
  <si>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</si>
  <si>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</si>
  <si>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</si>
  <si>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</si>
  <si>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</si>
  <si>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</si>
  <si>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</si>
  <si>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</si>
  <si>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</si>
  <si>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</si>
  <si>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</si>
  <si>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</si>
  <si>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</si>
  <si>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</si>
  <si>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</si>
  <si>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</si>
  <si>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</si>
  <si>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</si>
  <si>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</si>
  <si>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</si>
  <si>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</si>
  <si>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</si>
  <si>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</si>
  <si>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</si>
  <si>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</si>
  <si>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</si>
  <si>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</si>
  <si>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</si>
  <si>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</si>
  <si>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</si>
  <si>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</si>
  <si>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</si>
  <si>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</si>
  <si>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</si>
  <si>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</si>
  <si>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</si>
  <si>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</si>
  <si>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</si>
  <si>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</si>
  <si>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</si>
  <si>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</si>
  <si>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</si>
  <si>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</si>
  <si>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</si>
  <si>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</si>
  <si>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</si>
  <si>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</si>
  <si>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</si>
  <si>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</si>
  <si>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</si>
  <si>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</si>
  <si>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</si>
  <si>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</si>
  <si>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</si>
  <si>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</si>
  <si>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</si>
  <si>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</si>
  <si>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</si>
  <si>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</si>
  <si>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</si>
  <si>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</si>
  <si>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</si>
  <si>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</si>
  <si>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</si>
  <si>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</si>
  <si>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</si>
  <si>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</si>
  <si>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</si>
  <si>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</si>
  <si>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</si>
  <si>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</si>
  <si>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</si>
  <si>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</si>
  <si>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</si>
  <si>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</si>
  <si>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</si>
  <si>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</si>
  <si>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</si>
  <si>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</si>
  <si>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</si>
  <si>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</si>
  <si>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</si>
  <si>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</si>
  <si>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</si>
  <si>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</si>
  <si>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</si>
  <si>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</si>
  <si>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</si>
  <si>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</si>
  <si>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</si>
  <si>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</si>
  <si>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</si>
  <si>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</si>
  <si>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</si>
  <si>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</si>
  <si>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</si>
  <si>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</si>
  <si>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</si>
  <si>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</si>
  <si>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</si>
  <si>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</si>
  <si>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</si>
  <si>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</si>
  <si>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</si>
  <si>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</si>
  <si>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</si>
  <si>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</si>
  <si>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</si>
  <si>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</si>
  <si>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</si>
  <si>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</si>
  <si>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</si>
  <si>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</si>
  <si>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</si>
  <si>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</si>
  <si>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</si>
  <si>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</si>
  <si>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</si>
  <si>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</si>
  <si>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</si>
  <si>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</si>
  <si>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</si>
  <si>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</si>
  <si>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</si>
  <si>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</si>
  <si>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</si>
  <si>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</si>
  <si>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</si>
  <si>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</si>
  <si>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</si>
  <si>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</si>
  <si>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</si>
  <si>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</si>
  <si>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</si>
  <si>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</si>
  <si>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</si>
  <si>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</si>
  <si>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</si>
  <si>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</si>
  <si>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</si>
  <si>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</si>
  <si>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</si>
  <si>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</si>
  <si>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</si>
  <si>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</si>
  <si>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</si>
  <si>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</si>
  <si>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</si>
  <si>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</si>
  <si>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</si>
  <si>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</si>
  <si>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</si>
  <si>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</si>
  <si>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</si>
  <si>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</si>
  <si>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</si>
  <si>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</si>
  <si>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</si>
  <si>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</si>
  <si>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</si>
  <si>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</si>
  <si>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</si>
  <si>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</si>
  <si>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</si>
  <si>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</si>
  <si>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</si>
  <si>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</si>
  <si>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</si>
  <si>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</si>
  <si>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</si>
  <si>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</si>
  <si>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</si>
  <si>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</si>
  <si>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</si>
  <si>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</si>
  <si>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</si>
  <si>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</si>
  <si>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</si>
  <si>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</si>
  <si>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</si>
  <si>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</si>
  <si>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</si>
  <si>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</si>
  <si>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</si>
  <si>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</si>
  <si>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</si>
  <si>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</si>
  <si>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</si>
  <si>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</si>
  <si>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</si>
  <si>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</si>
  <si>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</si>
  <si>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</si>
  <si>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</si>
  <si>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</si>
  <si>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</si>
  <si>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</si>
  <si>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</si>
  <si>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</si>
  <si>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</si>
  <si>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</si>
  <si>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</si>
  <si>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</si>
  <si>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</si>
  <si>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</si>
  <si>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</si>
  <si>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</si>
  <si>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</si>
  <si>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</si>
  <si>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</si>
  <si>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</si>
  <si>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</si>
  <si>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</si>
  <si>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</si>
  <si>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</si>
  <si>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</si>
  <si>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</si>
  <si>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</si>
  <si>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</si>
  <si>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</si>
  <si>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</si>
  <si>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</si>
  <si>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</si>
  <si>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</si>
  <si>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</si>
  <si>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</si>
  <si>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</si>
  <si>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</si>
  <si>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</si>
  <si>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</si>
  <si>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</si>
  <si>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</si>
  <si>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</si>
  <si>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</si>
  <si>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</si>
  <si>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</si>
  <si>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</si>
  <si>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</si>
  <si>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</si>
  <si>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</si>
  <si>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</si>
  <si>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</si>
  <si>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</si>
  <si>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</si>
  <si>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</si>
  <si>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</si>
  <si>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</si>
  <si>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</si>
  <si>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</si>
  <si>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</si>
  <si>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</si>
  <si>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</si>
  <si>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</si>
  <si>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</si>
  <si>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</si>
  <si>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</si>
  <si>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</si>
  <si>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</si>
  <si>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</si>
  <si>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</si>
  <si>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</si>
  <si>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</si>
  <si>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</si>
  <si>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</si>
  <si>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</si>
  <si>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</si>
  <si>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</si>
  <si>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</si>
  <si>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</si>
  <si>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</si>
  <si>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</si>
  <si>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</si>
  <si>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</si>
  <si>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</si>
  <si>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</si>
  <si>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</si>
  <si>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</si>
  <si>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</si>
  <si>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</si>
  <si>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</si>
  <si>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</si>
  <si>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</si>
  <si>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</si>
  <si>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</si>
  <si>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</si>
  <si>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</si>
  <si>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</si>
  <si>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</si>
  <si>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</si>
  <si>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</si>
  <si>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</si>
  <si>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</si>
  <si>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</si>
  <si>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</si>
  <si>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</si>
  <si>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</si>
  <si>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</si>
  <si>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</si>
  <si>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</si>
  <si>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</si>
  <si>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</si>
  <si>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</si>
  <si>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</si>
  <si>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</si>
  <si>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</si>
  <si>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</si>
  <si>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</si>
  <si>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</si>
  <si>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</si>
  <si>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</si>
  <si>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</si>
  <si>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</si>
  <si>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</si>
  <si>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</si>
  <si>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</si>
  <si>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</si>
  <si>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</si>
  <si>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</si>
  <si>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</si>
  <si>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</si>
  <si>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</si>
  <si>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</si>
  <si>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</si>
  <si>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</si>
  <si>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</si>
  <si>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</si>
  <si>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</si>
  <si>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</si>
  <si>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</si>
  <si>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</si>
  <si>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</si>
  <si>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</si>
  <si>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</si>
  <si>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</si>
  <si>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</si>
  <si>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</si>
  <si>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</si>
  <si>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</si>
  <si>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</si>
  <si>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</si>
  <si>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</si>
  <si>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</si>
  <si>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</si>
  <si>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</si>
  <si>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</si>
  <si>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</si>
  <si>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</si>
  <si>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</si>
  <si>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</si>
  <si>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</si>
  <si>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</si>
  <si>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</si>
  <si>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</si>
  <si>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</si>
  <si>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</si>
  <si>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</si>
  <si>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</si>
  <si>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</si>
  <si>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</si>
  <si>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</si>
  <si>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</si>
  <si>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</si>
  <si>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</si>
  <si>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</si>
  <si>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</si>
  <si>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</si>
  <si>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</si>
  <si>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</si>
  <si>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</si>
  <si>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</si>
  <si>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</si>
  <si>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</si>
  <si>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</si>
  <si>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</si>
  <si>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</si>
  <si>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</si>
  <si>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</si>
  <si>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</si>
  <si>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</si>
  <si>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</si>
  <si>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</si>
  <si>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</si>
  <si>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</si>
  <si>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</si>
  <si>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</si>
  <si>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</si>
  <si>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</si>
  <si>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</si>
  <si>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</si>
  <si>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</si>
  <si>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</si>
  <si>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</si>
  <si>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</si>
  <si>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</si>
  <si>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</si>
  <si>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</si>
  <si>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</si>
  <si>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</si>
  <si>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</si>
  <si>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</si>
  <si>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</si>
  <si>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</si>
  <si>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</si>
  <si>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</si>
  <si>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</si>
  <si>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</si>
  <si>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</si>
  <si>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</si>
  <si>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</si>
  <si>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</si>
  <si>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</si>
  <si>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</si>
  <si>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</si>
  <si>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</si>
  <si>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</si>
  <si>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</si>
  <si>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</si>
  <si>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</si>
  <si>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</si>
  <si>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</si>
  <si>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</si>
  <si>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</si>
  <si>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</si>
  <si>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</si>
  <si>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</si>
  <si>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</si>
  <si>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</si>
  <si>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</si>
  <si>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</si>
  <si>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</si>
  <si>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</si>
  <si>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</si>
  <si>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</si>
  <si>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</si>
  <si>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</si>
  <si>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</si>
  <si>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</si>
  <si>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</si>
  <si>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</si>
  <si>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</si>
  <si>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</si>
  <si>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</si>
  <si>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</si>
  <si>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</si>
  <si>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</si>
  <si>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</si>
  <si>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</si>
  <si>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</si>
  <si>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</si>
  <si>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</si>
  <si>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</si>
  <si>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</si>
  <si>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</si>
  <si>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</si>
  <si>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</si>
  <si>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</si>
  <si>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</si>
  <si>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</si>
  <si>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</si>
  <si>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</si>
  <si>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</si>
  <si>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</si>
  <si>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</si>
  <si>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</si>
  <si>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</si>
  <si>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</si>
  <si>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</si>
  <si>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</si>
  <si>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</si>
  <si>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</si>
  <si>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</si>
  <si>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</si>
  <si>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</si>
  <si>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</si>
  <si>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</si>
  <si>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</si>
  <si>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</si>
  <si>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</si>
  <si>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</si>
  <si>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</si>
  <si>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</si>
  <si>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</si>
  <si>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</si>
  <si>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</si>
  <si>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</si>
  <si>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</si>
  <si>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</si>
  <si>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</si>
  <si>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</si>
  <si>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</si>
  <si>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</si>
  <si>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</si>
  <si>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</si>
  <si>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</si>
  <si>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</si>
  <si>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</si>
  <si>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</si>
  <si>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</si>
  <si>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</si>
  <si>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</si>
  <si>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</si>
  <si>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</si>
  <si>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</si>
  <si>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</si>
  <si>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</si>
  <si>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</si>
  <si>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</si>
  <si>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</si>
  <si>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</si>
  <si>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</si>
  <si>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</si>
  <si>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</si>
  <si>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</si>
  <si>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</si>
  <si>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</si>
  <si>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</si>
  <si>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</si>
  <si>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</si>
  <si>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</si>
  <si>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</si>
  <si>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</si>
  <si>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</si>
  <si>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</si>
  <si>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</si>
  <si>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</si>
  <si>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</si>
  <si>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</si>
  <si>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</si>
  <si>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</si>
  <si>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</si>
  <si>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</si>
  <si>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</si>
  <si>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</si>
  <si>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</si>
  <si>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</si>
  <si>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</si>
  <si>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</si>
  <si>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</si>
  <si>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</si>
  <si>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</si>
  <si>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</si>
  <si>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</si>
  <si>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</si>
  <si>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</si>
  <si>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</si>
  <si>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</si>
  <si>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</si>
  <si>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</si>
  <si>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</si>
  <si>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</si>
  <si>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</si>
  <si>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</si>
  <si>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</si>
  <si>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</si>
  <si>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</si>
  <si>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</si>
  <si>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</si>
  <si>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</si>
  <si>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</si>
  <si>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</si>
  <si>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</si>
  <si>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</si>
  <si>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</si>
  <si>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</si>
  <si>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</si>
  <si>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</si>
  <si>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</si>
  <si>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</si>
  <si>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</si>
  <si>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</si>
  <si>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</si>
  <si>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</si>
  <si>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</si>
  <si>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</si>
  <si>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</si>
  <si>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</si>
  <si>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</si>
  <si>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</si>
  <si>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</si>
  <si>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</si>
  <si>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</si>
  <si>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</si>
  <si>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</si>
  <si>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</si>
  <si>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</si>
  <si>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</si>
  <si>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</si>
  <si>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</si>
  <si>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</si>
  <si>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</si>
  <si>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</si>
  <si>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</si>
  <si>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</si>
  <si>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</si>
  <si>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</si>
  <si>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</si>
  <si>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</si>
  <si>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</si>
  <si>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</si>
  <si>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</si>
  <si>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</si>
  <si>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</si>
  <si>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</si>
  <si>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</si>
  <si>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</si>
  <si>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</si>
  <si>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</si>
  <si>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</si>
  <si>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</si>
  <si>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</si>
  <si>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</si>
  <si>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</si>
  <si>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</si>
  <si>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</si>
  <si>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</si>
  <si>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</si>
  <si>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</si>
  <si>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</si>
  <si>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</si>
  <si>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</si>
  <si>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</si>
  <si>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</si>
  <si>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</si>
  <si>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</si>
  <si>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</si>
  <si>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</si>
  <si>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</si>
  <si>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</si>
  <si>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</si>
  <si>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</si>
  <si>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</si>
  <si>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</si>
  <si>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</si>
  <si>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</si>
  <si>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</si>
  <si>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</si>
  <si>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</si>
  <si>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</si>
  <si>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</si>
  <si>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</si>
  <si>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</si>
  <si>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</si>
  <si>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</si>
  <si>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</si>
  <si>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</si>
  <si>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</si>
  <si>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</si>
  <si>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</si>
  <si>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</si>
  <si>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</si>
  <si>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</si>
  <si>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</si>
  <si>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</si>
  <si>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</si>
  <si>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</si>
  <si>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</si>
  <si>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</si>
  <si>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</si>
  <si>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</si>
  <si>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</si>
  <si>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</si>
  <si>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</si>
  <si>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</si>
  <si>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</si>
  <si>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</si>
  <si>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</si>
  <si>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</si>
  <si>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</si>
  <si>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</si>
  <si>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</si>
  <si>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</si>
  <si>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</si>
  <si>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</si>
  <si>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</si>
  <si>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</si>
  <si>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</si>
  <si>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</si>
  <si>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</si>
  <si>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</si>
  <si>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</si>
  <si>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</si>
  <si>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</si>
  <si>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</si>
  <si>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</si>
  <si>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</si>
  <si>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</si>
  <si>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</si>
  <si>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</si>
  <si>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</si>
  <si>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</si>
  <si>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</si>
  <si>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</si>
  <si>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</si>
  <si>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</si>
  <si>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</si>
  <si>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</si>
  <si>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</si>
  <si>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</si>
  <si>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</si>
  <si>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</si>
  <si>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</si>
  <si>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</si>
  <si>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</si>
  <si>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</si>
  <si>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</si>
  <si>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</si>
  <si>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</si>
  <si>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</si>
  <si>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</si>
  <si>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</si>
  <si>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</si>
  <si>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</si>
  <si>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</si>
  <si>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</si>
  <si>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</si>
  <si>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</si>
  <si>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</si>
  <si>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</si>
  <si>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</si>
  <si>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</si>
  <si>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</si>
  <si>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</si>
  <si>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</si>
  <si>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</si>
  <si>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</si>
  <si>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</si>
  <si>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</si>
  <si>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</si>
  <si>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</si>
  <si>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</si>
  <si>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</si>
  <si>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</si>
  <si>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</si>
  <si>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</si>
  <si>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</si>
  <si>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</si>
  <si>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</si>
  <si>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</si>
  <si>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</si>
  <si>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</si>
  <si>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</si>
  <si>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</si>
  <si>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</si>
  <si>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</si>
  <si>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</si>
  <si>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</si>
  <si>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</si>
  <si>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</si>
  <si>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</si>
  <si>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</si>
  <si>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</si>
  <si>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</si>
  <si>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</si>
  <si>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</si>
  <si>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</si>
  <si>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</si>
  <si>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</si>
  <si>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</si>
  <si>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</si>
  <si>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</si>
  <si>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</si>
  <si>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</si>
  <si>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</si>
  <si>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</si>
  <si>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</si>
  <si>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</si>
  <si>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</si>
  <si>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</si>
  <si>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</si>
  <si>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</si>
  <si>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</si>
  <si>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</si>
  <si>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</si>
  <si>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</si>
  <si>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</si>
  <si>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</si>
  <si>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</si>
  <si>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</si>
  <si>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</si>
  <si>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</si>
  <si>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</si>
  <si>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</si>
  <si>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</si>
  <si>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</si>
  <si>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</si>
  <si>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</si>
  <si>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</si>
  <si>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</si>
  <si>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</si>
  <si>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</si>
  <si>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</si>
  <si>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</si>
  <si>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</si>
  <si>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</si>
  <si>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</si>
  <si>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</si>
  <si>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</si>
  <si>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</si>
  <si>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</si>
  <si>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</si>
  <si>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</si>
  <si>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</si>
  <si>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</si>
  <si>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</si>
  <si>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</si>
  <si>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</si>
  <si>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</si>
  <si>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</si>
  <si>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</si>
  <si>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</si>
  <si>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</si>
  <si>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</si>
  <si>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</si>
  <si>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</si>
  <si>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</si>
  <si>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</si>
  <si>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</si>
  <si>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</si>
  <si>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</si>
  <si>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</si>
  <si>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</si>
  <si>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</si>
  <si>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</si>
  <si>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</si>
  <si>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</si>
  <si>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</si>
  <si>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</si>
  <si>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</si>
  <si>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</si>
  <si>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</si>
  <si>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</si>
  <si>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</si>
  <si>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</si>
  <si>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</si>
  <si>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</si>
  <si>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</si>
  <si>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</si>
  <si>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</si>
  <si>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</si>
  <si>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</si>
  <si>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</si>
  <si>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</si>
  <si>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</si>
  <si>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</si>
  <si>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</si>
  <si>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</si>
  <si>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</si>
  <si>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</si>
  <si>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</si>
  <si>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</si>
  <si>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</si>
  <si>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</si>
  <si>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</si>
  <si>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</si>
  <si>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</si>
  <si>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</si>
  <si>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</si>
  <si>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</si>
  <si>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</si>
  <si>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</si>
  <si>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</si>
  <si>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</si>
  <si>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</si>
  <si>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</si>
  <si>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</si>
  <si>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</si>
  <si>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</si>
  <si>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</si>
  <si>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</si>
  <si>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</si>
  <si>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</si>
  <si>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</si>
  <si>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</si>
  <si>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</si>
  <si>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</si>
  <si>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</si>
  <si>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</si>
  <si>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</si>
  <si>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</si>
  <si>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</si>
  <si>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</si>
  <si>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</si>
  <si>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</si>
  <si>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</si>
  <si>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</si>
  <si>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</si>
  <si>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</si>
  <si>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</si>
  <si>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</si>
  <si>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</si>
  <si>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</si>
  <si>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</si>
  <si>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</si>
  <si>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</si>
  <si>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</si>
  <si>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</si>
  <si>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</si>
  <si>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</si>
  <si>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</si>
  <si>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</si>
  <si>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</si>
  <si>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</si>
  <si>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</si>
  <si>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</si>
  <si>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</si>
  <si>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</si>
  <si>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</si>
  <si>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</si>
  <si>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</si>
  <si>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</si>
  <si>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</si>
  <si>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</si>
  <si>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</si>
  <si>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</si>
  <si>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</si>
  <si>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</si>
  <si>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</si>
  <si>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</si>
  <si>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</si>
  <si>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</si>
  <si>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</si>
  <si>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</si>
  <si>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</si>
  <si>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</si>
  <si>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</si>
  <si>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</si>
  <si>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</si>
  <si>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</si>
  <si>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</si>
  <si>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</si>
  <si>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</si>
  <si>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</si>
  <si>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</si>
  <si>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</si>
  <si>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</si>
  <si>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</si>
  <si>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</si>
  <si>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</si>
  <si>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</si>
  <si>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</si>
  <si>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</si>
  <si>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</si>
  <si>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</si>
  <si>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</si>
  <si>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</si>
  <si>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</si>
  <si>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</si>
  <si>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</si>
  <si>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</si>
  <si>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</si>
  <si>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</si>
  <si>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</si>
  <si>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</si>
  <si>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</si>
  <si>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</si>
  <si>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</si>
  <si>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</si>
  <si>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</si>
  <si>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</si>
  <si>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</si>
  <si>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</si>
  <si>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</si>
  <si>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</si>
  <si>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</si>
  <si>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</si>
  <si>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</si>
  <si>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</si>
  <si>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</si>
  <si>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</si>
  <si>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</si>
  <si>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</si>
  <si>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</si>
  <si>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</si>
  <si>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</si>
  <si>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</si>
  <si>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</si>
  <si>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</si>
  <si>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</si>
  <si>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</si>
  <si>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</si>
  <si>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</si>
  <si>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</si>
  <si>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</si>
  <si>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</si>
  <si>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</si>
  <si>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</si>
  <si>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</si>
  <si>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</si>
  <si>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</si>
  <si>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</si>
  <si>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</si>
  <si>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</si>
  <si>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</si>
  <si>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</si>
  <si>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</si>
  <si>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</si>
  <si>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</si>
  <si>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</si>
  <si>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</si>
  <si>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</si>
  <si>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</si>
  <si>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</si>
  <si>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</si>
  <si>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</si>
  <si>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</si>
  <si>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</si>
  <si>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</si>
  <si>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</si>
  <si>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</si>
  <si>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</si>
  <si>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</si>
  <si>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</si>
  <si>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</si>
  <si>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</si>
  <si>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</si>
  <si>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</si>
  <si>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</si>
  <si>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</si>
  <si>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</si>
  <si>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</si>
  <si>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</si>
  <si>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</si>
  <si>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</si>
  <si>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</si>
  <si>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</si>
  <si>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</si>
  <si>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</si>
  <si>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</si>
  <si>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</si>
  <si>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</si>
  <si>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</si>
  <si>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</si>
  <si>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</si>
  <si>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</si>
  <si>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</si>
  <si>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</si>
  <si>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</si>
  <si>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</si>
  <si>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</si>
  <si>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</si>
  <si>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</si>
  <si>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</si>
  <si>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</si>
  <si>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</si>
  <si>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</si>
  <si>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</si>
  <si>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</si>
  <si>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</si>
  <si>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</si>
  <si>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</si>
  <si>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</si>
  <si>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</si>
  <si>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</si>
  <si>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</si>
  <si>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</si>
  <si>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</si>
  <si>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</si>
  <si>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</si>
  <si>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</si>
  <si>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</si>
  <si>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</si>
  <si>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</si>
  <si>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</si>
  <si>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</si>
  <si>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</si>
  <si>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</si>
  <si>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</si>
  <si>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</si>
  <si>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</si>
  <si>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</si>
  <si>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</si>
  <si>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</si>
  <si>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</si>
  <si>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</si>
  <si>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</si>
  <si>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</si>
  <si>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</si>
  <si>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</si>
  <si>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</si>
  <si>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</si>
  <si>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</si>
  <si>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</si>
  <si>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</si>
  <si>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</si>
  <si>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</si>
  <si>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</si>
  <si>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</si>
  <si>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</si>
  <si>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</si>
  <si>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</si>
  <si>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</si>
  <si>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</si>
  <si>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</si>
  <si>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</si>
  <si>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</si>
  <si>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</si>
  <si>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</si>
  <si>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</si>
  <si>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</si>
  <si>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</si>
  <si>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</si>
  <si>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</si>
  <si>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</si>
  <si>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</si>
  <si>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</si>
  <si>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</si>
  <si>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</si>
  <si>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</si>
  <si>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</si>
  <si>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</si>
  <si>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</si>
  <si>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</si>
  <si>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</si>
  <si>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</si>
  <si>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</si>
  <si>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</si>
  <si>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</si>
  <si>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</si>
  <si>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</si>
  <si>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</si>
  <si>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</si>
  <si>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</si>
  <si>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</si>
  <si>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</si>
  <si>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</si>
  <si>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</si>
  <si>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</si>
  <si>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</si>
  <si>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</si>
  <si>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</si>
  <si>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</si>
  <si>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</si>
  <si>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</si>
  <si>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</si>
  <si>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</si>
  <si>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</si>
  <si>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</si>
  <si>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</si>
  <si>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</si>
  <si>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</si>
  <si>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</si>
  <si>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</si>
  <si>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</si>
  <si>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</si>
  <si>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</si>
  <si>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</si>
  <si>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</si>
  <si>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</si>
  <si>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</si>
  <si>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</si>
  <si>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</si>
  <si>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</si>
  <si>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</si>
  <si>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</si>
  <si>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</si>
  <si>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</si>
  <si>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</si>
  <si>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</si>
  <si>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</si>
  <si>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</si>
  <si>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</si>
  <si>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</si>
  <si>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</si>
  <si>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</si>
  <si>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</si>
  <si>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</si>
  <si>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</si>
  <si>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</si>
  <si>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</si>
  <si>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</si>
  <si>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</si>
  <si>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</si>
  <si>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</si>
  <si>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</si>
  <si>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</si>
  <si>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</si>
  <si>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</si>
  <si>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</si>
  <si>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</si>
  <si>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</si>
  <si>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</si>
  <si>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</si>
  <si>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</si>
  <si>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</si>
  <si>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</si>
  <si>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</si>
  <si>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</si>
  <si>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</si>
  <si>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</si>
  <si>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</si>
  <si>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</si>
  <si>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</si>
  <si>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</si>
  <si>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</si>
  <si>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</si>
  <si>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</si>
  <si>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</si>
  <si>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</si>
  <si>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</si>
  <si>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</si>
  <si>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</si>
  <si>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</si>
  <si>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</si>
  <si>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</si>
  <si>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</si>
  <si>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</si>
  <si>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</si>
  <si>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</si>
  <si>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</si>
  <si>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</si>
  <si>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</si>
  <si>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</si>
  <si>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</si>
  <si>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</si>
  <si>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</si>
  <si>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</si>
  <si>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</si>
  <si>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</si>
  <si>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</si>
  <si>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</si>
  <si>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</si>
  <si>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</si>
  <si>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</si>
  <si>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</si>
  <si>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</si>
  <si>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</si>
  <si>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</si>
  <si>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</si>
  <si>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</si>
  <si>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</si>
  <si>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</si>
  <si>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</si>
  <si>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</si>
  <si>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</si>
  <si>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</si>
  <si>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</si>
  <si>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</si>
  <si>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</si>
  <si>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</si>
  <si>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</si>
  <si>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</si>
  <si>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</si>
  <si>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</si>
  <si>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</si>
  <si>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</si>
  <si>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</si>
  <si>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</si>
  <si>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</si>
  <si>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</si>
  <si>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</si>
  <si>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</si>
  <si>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</si>
  <si>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</si>
  <si>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</si>
  <si>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</si>
  <si>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</si>
  <si>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</si>
  <si>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</si>
  <si>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</si>
  <si>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</si>
  <si>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</si>
  <si>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</si>
  <si>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</si>
  <si>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</si>
  <si>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</si>
  <si>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</si>
  <si>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</si>
  <si>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</si>
  <si>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</si>
  <si>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</si>
  <si>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</si>
  <si>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</si>
  <si>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</si>
  <si>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</si>
  <si>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</si>
  <si>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</si>
  <si>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</si>
  <si>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</si>
  <si>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</si>
  <si>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</si>
  <si>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</si>
  <si>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</si>
  <si>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</si>
  <si>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</si>
  <si>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</si>
  <si>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</si>
  <si>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</si>
  <si>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</si>
  <si>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</si>
  <si>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</si>
  <si>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</si>
  <si>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</si>
  <si>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</si>
  <si>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</si>
  <si>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</si>
  <si>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</si>
  <si>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</si>
  <si>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</si>
  <si>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</si>
  <si>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</si>
  <si>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</si>
  <si>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</si>
  <si>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</si>
  <si>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</si>
  <si>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</si>
  <si>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</si>
  <si>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</si>
  <si>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</si>
  <si>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</si>
  <si>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</si>
  <si>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</si>
  <si>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</si>
  <si>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</si>
  <si>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</si>
  <si>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</si>
  <si>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</si>
  <si>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</si>
  <si>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</si>
  <si>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</si>
  <si>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</si>
  <si>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</si>
  <si>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</si>
  <si>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</si>
  <si>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</si>
  <si>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</si>
  <si>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</si>
  <si>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</si>
  <si>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</si>
  <si>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</si>
  <si>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</si>
  <si>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</si>
  <si>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</si>
  <si>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</si>
  <si>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</si>
  <si>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</si>
  <si>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</si>
  <si>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</si>
  <si>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</si>
  <si>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Number</t>
  </si>
  <si>
    <t>Count of Employee Number</t>
  </si>
  <si>
    <t>Sum of CF_attrition counts</t>
  </si>
  <si>
    <t>Average of Age</t>
  </si>
  <si>
    <t>Total employee</t>
  </si>
  <si>
    <t>Atrtrition count</t>
  </si>
  <si>
    <t>Average AGE</t>
  </si>
  <si>
    <t>Active employee</t>
  </si>
  <si>
    <t>Attrition rate</t>
  </si>
  <si>
    <t>Row Labels</t>
  </si>
  <si>
    <t>Grand Total</t>
  </si>
  <si>
    <t>Sum of CF_attrition count</t>
  </si>
  <si>
    <t>Attrition Count</t>
  </si>
  <si>
    <t>MarriageStatus</t>
  </si>
  <si>
    <t>Atrition count</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</si>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</sst>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Arial Black"/>
      <family val="2"/>
    </font>
    <font>
      <b/>
      <sz val="16"/>
      <color theme="1"/>
      <name val="Arial Black"/>
      <family val="2"/>
    </font>
    <font>
      <sz val="16"/>
      <color theme="1"/>
      <name val="Calibri"/>
      <family val="2"/>
      <scheme val="minor"/>
    </font>
    <font>
      <b/>
      <sz val="48"/>
      <color theme="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1" xfId="0" applyBorder="1"/>
    <xf numFmtId="10" fontId="0" fillId="0" borderId="1" xfId="1" applyNumberFormat="1" applyFont="1" applyBorder="1"/>
    <xf numFmtId="0" fontId="2" fillId="2" borderId="1"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xf>
    <xf numFmtId="0" fontId="5" fillId="3" borderId="0" xfId="0" applyFont="1" applyFill="1" applyAlignment="1">
      <alignment horizontal="center"/>
    </xf>
    <xf numFmtId="0" fontId="0" fillId="4" borderId="0" xfId="0" applyFill="1"/>
    <xf numFmtId="0" fontId="3" fillId="5" borderId="1" xfId="0" applyFont="1" applyFill="1" applyBorder="1"/>
    <xf numFmtId="0" fontId="4" fillId="5" borderId="1" xfId="0" applyFont="1" applyFill="1" applyBorder="1"/>
    <xf numFmtId="10" fontId="4" fillId="5" borderId="1" xfId="1"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 EXCEL PROJECT 2.xlsx]Gender &amp; Qualification!PivotTable2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split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61111111111111"/>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046A9F1-1D48-4D76-BA71-B856709EB073}" type="CATEGORYNAME">
                  <a:rPr lang="en-US" b="1">
                    <a:solidFill>
                      <a:schemeClr val="bg2"/>
                    </a:solidFill>
                  </a:rPr>
                  <a:pPr>
                    <a:defRPr/>
                  </a:pPr>
                  <a:t>[CATEGORY NAME]</a:t>
                </a:fld>
                <a:r>
                  <a:rPr lang="en-US" b="1" baseline="0">
                    <a:solidFill>
                      <a:schemeClr val="bg2"/>
                    </a:solidFill>
                  </a:rPr>
                  <a:t>
</a:t>
                </a:r>
                <a:fld id="{4E5C100C-2A78-4A82-AFD0-B0E0A949EF7C}" type="PERCENTAGE">
                  <a:rPr lang="en-US" b="1" baseline="0">
                    <a:solidFill>
                      <a:schemeClr val="bg2"/>
                    </a:solidFill>
                  </a:rPr>
                  <a:pPr>
                    <a:defRPr/>
                  </a:pPr>
                  <a:t>[PERCENTAGE]</a:t>
                </a:fld>
                <a:endParaRPr lang="en-US" b="1" baseline="0">
                  <a:solidFill>
                    <a:schemeClr val="bg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4722222222222223"/>
              <c:y val="-4.629629629629714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7FC613A-6DF6-4A75-B199-5144A8134C0C}" type="CATEGORYNAME">
                  <a:rPr lang="en-US">
                    <a:solidFill>
                      <a:schemeClr val="bg1"/>
                    </a:solidFill>
                  </a:rPr>
                  <a:pPr>
                    <a:defRPr/>
                  </a:pPr>
                  <a:t>[CATEGORY NAME]</a:t>
                </a:fld>
                <a:r>
                  <a:rPr lang="en-US" baseline="0">
                    <a:solidFill>
                      <a:schemeClr val="bg1"/>
                    </a:solidFill>
                  </a:rPr>
                  <a:t>
</a:t>
                </a:r>
                <a:fld id="{2A2679D9-EDB3-45E6-8A2E-40A2AE043DF5}"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'Gender &amp; 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090-4576-A8F5-F8EE79A5C9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90-4576-A8F5-F8EE79A5C95D}"/>
              </c:ext>
            </c:extLst>
          </c:dPt>
          <c:dLbls>
            <c:dLbl>
              <c:idx val="0"/>
              <c:layout>
                <c:manualLayout>
                  <c:x val="-0.1361111111111111"/>
                  <c:y val="4.6296296296296294E-2"/>
                </c:manualLayout>
              </c:layout>
              <c:tx>
                <c:rich>
                  <a:bodyPr/>
                  <a:lstStyle/>
                  <a:p>
                    <a:fld id="{6046A9F1-1D48-4D76-BA71-B856709EB073}" type="CATEGORYNAME">
                      <a:rPr lang="en-US" b="1">
                        <a:solidFill>
                          <a:schemeClr val="bg2"/>
                        </a:solidFill>
                      </a:rPr>
                      <a:pPr/>
                      <a:t>[CATEGORY NAME]</a:t>
                    </a:fld>
                    <a:r>
                      <a:rPr lang="en-US" b="1" baseline="0">
                        <a:solidFill>
                          <a:schemeClr val="bg2"/>
                        </a:solidFill>
                      </a:rPr>
                      <a:t>
</a:t>
                    </a:r>
                    <a:fld id="{4E5C100C-2A78-4A82-AFD0-B0E0A949EF7C}" type="PERCENTAGE">
                      <a:rPr lang="en-US" b="1" baseline="0">
                        <a:solidFill>
                          <a:schemeClr val="bg2"/>
                        </a:solidFill>
                      </a:rPr>
                      <a:pPr/>
                      <a:t>[PERCENTAGE]</a:t>
                    </a:fld>
                    <a:endParaRPr lang="en-US" b="1" baseline="0">
                      <a:solidFill>
                        <a:schemeClr val="bg2"/>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090-4576-A8F5-F8EE79A5C95D}"/>
                </c:ext>
              </c:extLst>
            </c:dLbl>
            <c:dLbl>
              <c:idx val="1"/>
              <c:layout>
                <c:manualLayout>
                  <c:x val="0.14722222222222223"/>
                  <c:y val="-4.6296296296297144E-3"/>
                </c:manualLayout>
              </c:layout>
              <c:tx>
                <c:rich>
                  <a:bodyPr/>
                  <a:lstStyle/>
                  <a:p>
                    <a:fld id="{87FC613A-6DF6-4A75-B199-5144A8134C0C}" type="CATEGORYNAME">
                      <a:rPr lang="en-US">
                        <a:solidFill>
                          <a:schemeClr val="bg1"/>
                        </a:solidFill>
                      </a:rPr>
                      <a:pPr/>
                      <a:t>[CATEGORY NAME]</a:t>
                    </a:fld>
                    <a:r>
                      <a:rPr lang="en-US" baseline="0">
                        <a:solidFill>
                          <a:schemeClr val="bg1"/>
                        </a:solidFill>
                      </a:rPr>
                      <a:t>
</a:t>
                    </a:r>
                    <a:fld id="{2A2679D9-EDB3-45E6-8A2E-40A2AE043DF5}"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090-4576-A8F5-F8EE79A5C95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&amp; Qualification'!$A$4:$A$6</c:f>
              <c:strCache>
                <c:ptCount val="2"/>
                <c:pt idx="0">
                  <c:v>Female</c:v>
                </c:pt>
                <c:pt idx="1">
                  <c:v>Male</c:v>
                </c:pt>
              </c:strCache>
            </c:strRef>
          </c:cat>
          <c:val>
            <c:numRef>
              <c:f>'Gender &amp; Qualification'!$B$4:$B$6</c:f>
              <c:numCache>
                <c:formatCode>General</c:formatCode>
                <c:ptCount val="2"/>
                <c:pt idx="0">
                  <c:v>592845</c:v>
                </c:pt>
                <c:pt idx="1">
                  <c:v>913707</c:v>
                </c:pt>
              </c:numCache>
            </c:numRef>
          </c:val>
          <c:extLst>
            <c:ext xmlns:c16="http://schemas.microsoft.com/office/drawing/2014/chart" uri="{C3380CC4-5D6E-409C-BE32-E72D297353CC}">
              <c16:uniqueId val="{00000000-1090-4576-A8F5-F8EE79A5C95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Qualification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3F0E-431D-8F9E-27893ECCD823}"/>
            </c:ext>
          </c:extLst>
        </c:ser>
        <c:dLbls>
          <c:dLblPos val="ctr"/>
          <c:showLegendKey val="0"/>
          <c:showVal val="1"/>
          <c:showCatName val="0"/>
          <c:showSerName val="0"/>
          <c:showPercent val="0"/>
          <c:showBubbleSize val="0"/>
        </c:dLbls>
        <c:gapWidth val="150"/>
        <c:overlap val="100"/>
        <c:axId val="1927448319"/>
        <c:axId val="1927446655"/>
      </c:barChart>
      <c:catAx>
        <c:axId val="192744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46655"/>
        <c:crosses val="autoZero"/>
        <c:auto val="1"/>
        <c:lblAlgn val="ctr"/>
        <c:lblOffset val="100"/>
        <c:noMultiLvlLbl val="0"/>
      </c:catAx>
      <c:valAx>
        <c:axId val="1927446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4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9.1666666666666771E-2"/>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5144157-DC7D-496F-A6C4-9EF3A43010B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6B2CAE0-2550-47DC-B1B8-3E2F0DA907B9}"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dLbl>
          <c:idx val="0"/>
          <c:layout>
            <c:manualLayout>
              <c:x val="-2.2222222222222223E-2"/>
              <c:y val="0.1527777777777777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6FDD69-0B5F-46A7-BF49-06341D5C181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9A4032A-64FF-4390-9ABA-34D736F5DE16}"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dLbl>
          <c:idx val="0"/>
          <c:layout>
            <c:manualLayout>
              <c:x val="0.1111111111111111"/>
              <c:y val="6.481481481481481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E5607C6-E920-4347-8DA3-7BE25AC392A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8DA135E5-264B-435F-B245-6C39DFC61BC9}"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D4F-4D11-A25D-BBB962859D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D4F-4D11-A25D-BBB962859D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D4F-4D11-A25D-BBB962859D9D}"/>
              </c:ext>
            </c:extLst>
          </c:dPt>
          <c:dLbls>
            <c:dLbl>
              <c:idx val="0"/>
              <c:layout>
                <c:manualLayout>
                  <c:x val="-2.2222222222222223E-2"/>
                  <c:y val="0.1527777777777777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6FDD69-0B5F-46A7-BF49-06341D5C181D}" type="CATEGORYNAME">
                      <a:rPr lang="en-US" b="1">
                        <a:solidFill>
                          <a:schemeClr val="bg1"/>
                        </a:solidFill>
                      </a:rPr>
                      <a:pPr>
                        <a:defRPr/>
                      </a:pPr>
                      <a:t>[CATEGORY NAME]</a:t>
                    </a:fld>
                    <a:r>
                      <a:rPr lang="en-US" b="1" baseline="0">
                        <a:solidFill>
                          <a:schemeClr val="bg1"/>
                        </a:solidFill>
                      </a:rPr>
                      <a:t>
</a:t>
                    </a:r>
                    <a:fld id="{69A4032A-64FF-4390-9ABA-34D736F5DE16}"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7D4F-4D11-A25D-BBB962859D9D}"/>
                </c:ext>
              </c:extLst>
            </c:dLbl>
            <c:dLbl>
              <c:idx val="1"/>
              <c:layout>
                <c:manualLayout>
                  <c:x val="-9.1666666666666771E-2"/>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5144157-DC7D-496F-A6C4-9EF3A43010BD}" type="CATEGORYNAME">
                      <a:rPr lang="en-US" b="1">
                        <a:solidFill>
                          <a:schemeClr val="bg1"/>
                        </a:solidFill>
                      </a:rPr>
                      <a:pPr>
                        <a:defRPr/>
                      </a:pPr>
                      <a:t>[CATEGORY NAME]</a:t>
                    </a:fld>
                    <a:r>
                      <a:rPr lang="en-US" b="1" baseline="0">
                        <a:solidFill>
                          <a:schemeClr val="bg1"/>
                        </a:solidFill>
                      </a:rPr>
                      <a:t>
</a:t>
                    </a:r>
                    <a:fld id="{26B2CAE0-2550-47DC-B1B8-3E2F0DA907B9}"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7D4F-4D11-A25D-BBB962859D9D}"/>
                </c:ext>
              </c:extLst>
            </c:dLbl>
            <c:dLbl>
              <c:idx val="2"/>
              <c:layout>
                <c:manualLayout>
                  <c:x val="0.1111111111111111"/>
                  <c:y val="6.481481481481481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E5607C6-E920-4347-8DA3-7BE25AC392AA}" type="CATEGORYNAME">
                      <a:rPr lang="en-US" b="1">
                        <a:solidFill>
                          <a:schemeClr val="bg1"/>
                        </a:solidFill>
                      </a:rPr>
                      <a:pPr>
                        <a:defRPr/>
                      </a:pPr>
                      <a:t>[CATEGORY NAME]</a:t>
                    </a:fld>
                    <a:r>
                      <a:rPr lang="en-US" b="1" baseline="0">
                        <a:solidFill>
                          <a:schemeClr val="bg1"/>
                        </a:solidFill>
                      </a:rPr>
                      <a:t>
</a:t>
                    </a:r>
                    <a:fld id="{8DA135E5-264B-435F-B245-6C39DFC61BC9}"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4-7D4F-4D11-A25D-BBB962859D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HR</c:v>
              </c:pt>
              <c:pt idx="1">
                <c:v>R&amp;D</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0-7D4F-4D11-A25D-BBB962859D9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 EXCEL PROJECT 2.xlsx]Age and marriage!PivotTable2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marriage'!$B$3</c:f>
              <c:strCache>
                <c:ptCount val="1"/>
                <c:pt idx="0">
                  <c:v>Total</c:v>
                </c:pt>
              </c:strCache>
            </c:strRef>
          </c:tx>
          <c:spPr>
            <a:solidFill>
              <a:schemeClr val="accent1"/>
            </a:solidFill>
            <a:ln>
              <a:noFill/>
            </a:ln>
            <a:effectLst/>
          </c:spPr>
          <c:invertIfNegative val="0"/>
          <c:cat>
            <c:strRef>
              <c:f>'Age and marriage'!$A$4:$A$9</c:f>
              <c:strCache>
                <c:ptCount val="5"/>
                <c:pt idx="0">
                  <c:v>Under 25</c:v>
                </c:pt>
                <c:pt idx="1">
                  <c:v>25 - 34</c:v>
                </c:pt>
                <c:pt idx="2">
                  <c:v>35 - 44</c:v>
                </c:pt>
                <c:pt idx="3">
                  <c:v>45 - 54</c:v>
                </c:pt>
                <c:pt idx="4">
                  <c:v>Over 55</c:v>
                </c:pt>
              </c:strCache>
            </c:strRef>
          </c:cat>
          <c:val>
            <c:numRef>
              <c:f>'Age and marriage'!$B$4:$B$9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218B-41CF-9DE9-F3932C14C419}"/>
            </c:ext>
          </c:extLst>
        </c:ser>
        <c:dLbls>
          <c:showLegendKey val="0"/>
          <c:showVal val="0"/>
          <c:showCatName val="0"/>
          <c:showSerName val="0"/>
          <c:showPercent val="0"/>
          <c:showBubbleSize val="0"/>
        </c:dLbls>
        <c:gapWidth val="219"/>
        <c:overlap val="-27"/>
        <c:axId val="1069594464"/>
        <c:axId val="1069591136"/>
      </c:barChart>
      <c:catAx>
        <c:axId val="10695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91136"/>
        <c:crosses val="autoZero"/>
        <c:auto val="1"/>
        <c:lblAlgn val="ctr"/>
        <c:lblOffset val="100"/>
        <c:noMultiLvlLbl val="0"/>
      </c:catAx>
      <c:valAx>
        <c:axId val="106959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9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 EXCEL PROJECT 2.xlsx]Gender &amp; Qualification!PivotTable2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split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61111111111111"/>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046A9F1-1D48-4D76-BA71-B856709EB073}" type="CATEGORYNAME">
                  <a:rPr lang="en-US" b="1">
                    <a:solidFill>
                      <a:schemeClr val="bg2"/>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2"/>
                    </a:solidFill>
                  </a:rPr>
                  <a:t>
</a:t>
                </a:r>
                <a:fld id="{4E5C100C-2A78-4A82-AFD0-B0E0A949EF7C}" type="PERCENTAGE">
                  <a:rPr lang="en-US" b="1" baseline="0">
                    <a:solidFill>
                      <a:schemeClr val="bg2"/>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4722222222222223"/>
              <c:y val="-4.629629629629714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7FC613A-6DF6-4A75-B199-5144A8134C0C}"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2A2679D9-EDB3-45E6-8A2E-40A2AE043DF5}"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61111111111111"/>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046A9F1-1D48-4D76-BA71-B856709EB073}" type="CATEGORYNAME">
                  <a:rPr lang="en-US" b="1">
                    <a:solidFill>
                      <a:schemeClr val="bg2"/>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2"/>
                    </a:solidFill>
                  </a:rPr>
                  <a:t>
</a:t>
                </a:r>
                <a:fld id="{4E5C100C-2A78-4A82-AFD0-B0E0A949EF7C}" type="PERCENTAGE">
                  <a:rPr lang="en-US" b="1" baseline="0">
                    <a:solidFill>
                      <a:schemeClr val="bg2"/>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dLbl>
          <c:idx val="0"/>
          <c:layout>
            <c:manualLayout>
              <c:x val="0.14722222222222223"/>
              <c:y val="-4.629629629629714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7FC613A-6DF6-4A75-B199-5144A8134C0C}"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2A2679D9-EDB3-45E6-8A2E-40A2AE043DF5}"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61111111111111"/>
              <c:y val="4.629629629629629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046A9F1-1D48-4D76-BA71-B856709EB073}" type="CATEGORYNAME">
                  <a:rPr lang="en-US" b="1">
                    <a:solidFill>
                      <a:schemeClr val="bg2"/>
                    </a:solidFill>
                  </a:rPr>
                  <a:pPr>
                    <a:defRPr/>
                  </a:pPr>
                  <a:t>[CATEGORY NAME]</a:t>
                </a:fld>
                <a:r>
                  <a:rPr lang="en-US" b="1" baseline="0">
                    <a:solidFill>
                      <a:schemeClr val="bg2"/>
                    </a:solidFill>
                  </a:rPr>
                  <a:t>
</a:t>
                </a:r>
                <a:fld id="{4E5C100C-2A78-4A82-AFD0-B0E0A949EF7C}" type="PERCENTAGE">
                  <a:rPr lang="en-US" b="1" baseline="0">
                    <a:solidFill>
                      <a:schemeClr val="bg2"/>
                    </a:solidFill>
                  </a:rPr>
                  <a:pPr>
                    <a:defRPr/>
                  </a:pPr>
                  <a:t>[PERCENTAGE]</a:t>
                </a:fld>
                <a:endParaRPr lang="en-US" b="1" baseline="0">
                  <a:solidFill>
                    <a:schemeClr val="bg2"/>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14722222222222223"/>
              <c:y val="-4.629629629629714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7FC613A-6DF6-4A75-B199-5144A8134C0C}" type="CATEGORYNAME">
                  <a:rPr lang="en-US">
                    <a:solidFill>
                      <a:schemeClr val="bg1"/>
                    </a:solidFill>
                  </a:rPr>
                  <a:pPr>
                    <a:defRPr/>
                  </a:pPr>
                  <a:t>[CATEGORY NAME]</a:t>
                </a:fld>
                <a:r>
                  <a:rPr lang="en-US" baseline="0">
                    <a:solidFill>
                      <a:schemeClr val="bg1"/>
                    </a:solidFill>
                  </a:rPr>
                  <a:t>
</a:t>
                </a:r>
                <a:fld id="{2A2679D9-EDB3-45E6-8A2E-40A2AE043DF5}"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'Gender &amp; 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81-419B-A279-2A2BC69935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81-419B-A279-2A2BC6993562}"/>
              </c:ext>
            </c:extLst>
          </c:dPt>
          <c:dLbls>
            <c:dLbl>
              <c:idx val="0"/>
              <c:layout>
                <c:manualLayout>
                  <c:x val="-0.1361111111111111"/>
                  <c:y val="4.6296296296296294E-2"/>
                </c:manualLayout>
              </c:layout>
              <c:tx>
                <c:rich>
                  <a:bodyPr/>
                  <a:lstStyle/>
                  <a:p>
                    <a:fld id="{6046A9F1-1D48-4D76-BA71-B856709EB073}" type="CATEGORYNAME">
                      <a:rPr lang="en-US" b="1">
                        <a:solidFill>
                          <a:schemeClr val="bg2"/>
                        </a:solidFill>
                      </a:rPr>
                      <a:pPr/>
                      <a:t>[CATEGORY NAME]</a:t>
                    </a:fld>
                    <a:r>
                      <a:rPr lang="en-US" b="1" baseline="0">
                        <a:solidFill>
                          <a:schemeClr val="bg2"/>
                        </a:solidFill>
                      </a:rPr>
                      <a:t>
</a:t>
                    </a:r>
                    <a:fld id="{4E5C100C-2A78-4A82-AFD0-B0E0A949EF7C}" type="PERCENTAGE">
                      <a:rPr lang="en-US" b="1" baseline="0">
                        <a:solidFill>
                          <a:schemeClr val="bg2"/>
                        </a:solidFill>
                      </a:rPr>
                      <a:pPr/>
                      <a:t>[PERCENTAGE]</a:t>
                    </a:fld>
                    <a:endParaRPr lang="en-US" b="1" baseline="0">
                      <a:solidFill>
                        <a:schemeClr val="bg2"/>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481-419B-A279-2A2BC6993562}"/>
                </c:ext>
              </c:extLst>
            </c:dLbl>
            <c:dLbl>
              <c:idx val="1"/>
              <c:layout>
                <c:manualLayout>
                  <c:x val="0.14722222222222223"/>
                  <c:y val="-4.6296296296297144E-3"/>
                </c:manualLayout>
              </c:layout>
              <c:tx>
                <c:rich>
                  <a:bodyPr/>
                  <a:lstStyle/>
                  <a:p>
                    <a:fld id="{87FC613A-6DF6-4A75-B199-5144A8134C0C}" type="CATEGORYNAME">
                      <a:rPr lang="en-US">
                        <a:solidFill>
                          <a:schemeClr val="bg1"/>
                        </a:solidFill>
                      </a:rPr>
                      <a:pPr/>
                      <a:t>[CATEGORY NAME]</a:t>
                    </a:fld>
                    <a:r>
                      <a:rPr lang="en-US" baseline="0">
                        <a:solidFill>
                          <a:schemeClr val="bg1"/>
                        </a:solidFill>
                      </a:rPr>
                      <a:t>
</a:t>
                    </a:r>
                    <a:fld id="{2A2679D9-EDB3-45E6-8A2E-40A2AE043DF5}"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481-419B-A279-2A2BC699356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&amp; Qualification'!$A$4:$A$6</c:f>
              <c:strCache>
                <c:ptCount val="2"/>
                <c:pt idx="0">
                  <c:v>Female</c:v>
                </c:pt>
                <c:pt idx="1">
                  <c:v>Male</c:v>
                </c:pt>
              </c:strCache>
            </c:strRef>
          </c:cat>
          <c:val>
            <c:numRef>
              <c:f>'Gender &amp; Qualification'!$B$4:$B$6</c:f>
              <c:numCache>
                <c:formatCode>General</c:formatCode>
                <c:ptCount val="2"/>
                <c:pt idx="0">
                  <c:v>592845</c:v>
                </c:pt>
                <c:pt idx="1">
                  <c:v>913707</c:v>
                </c:pt>
              </c:numCache>
            </c:numRef>
          </c:val>
          <c:extLst>
            <c:ext xmlns:c16="http://schemas.microsoft.com/office/drawing/2014/chart" uri="{C3380CC4-5D6E-409C-BE32-E72D297353CC}">
              <c16:uniqueId val="{00000004-6481-419B-A279-2A2BC699356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Qualification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ED30-48C1-9C6D-40B69FEA1DA8}"/>
            </c:ext>
          </c:extLst>
        </c:ser>
        <c:dLbls>
          <c:dLblPos val="ctr"/>
          <c:showLegendKey val="0"/>
          <c:showVal val="1"/>
          <c:showCatName val="0"/>
          <c:showSerName val="0"/>
          <c:showPercent val="0"/>
          <c:showBubbleSize val="0"/>
        </c:dLbls>
        <c:gapWidth val="150"/>
        <c:overlap val="100"/>
        <c:axId val="1927448319"/>
        <c:axId val="1927446655"/>
      </c:barChart>
      <c:catAx>
        <c:axId val="192744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46655"/>
        <c:crosses val="autoZero"/>
        <c:auto val="1"/>
        <c:lblAlgn val="ctr"/>
        <c:lblOffset val="100"/>
        <c:noMultiLvlLbl val="0"/>
      </c:catAx>
      <c:valAx>
        <c:axId val="1927446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44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9.1666666666666771E-2"/>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5144157-DC7D-496F-A6C4-9EF3A43010B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6B2CAE0-2550-47DC-B1B8-3E2F0DA907B9}"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dLbl>
          <c:idx val="0"/>
          <c:layout>
            <c:manualLayout>
              <c:x val="-2.2222222222222223E-2"/>
              <c:y val="0.1527777777777777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6FDD69-0B5F-46A7-BF49-06341D5C181D}"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9A4032A-64FF-4390-9ABA-34D736F5DE16}"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dLbl>
          <c:idx val="0"/>
          <c:layout>
            <c:manualLayout>
              <c:x val="0.1111111111111111"/>
              <c:y val="6.481481481481481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E5607C6-E920-4347-8DA3-7BE25AC392AA}"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8DA135E5-264B-435F-B245-6C39DFC61BC9}"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67-4E78-AB38-8BD73D91E6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67-4E78-AB38-8BD73D91E6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67-4E78-AB38-8BD73D91E60D}"/>
              </c:ext>
            </c:extLst>
          </c:dPt>
          <c:dLbls>
            <c:dLbl>
              <c:idx val="0"/>
              <c:layout>
                <c:manualLayout>
                  <c:x val="-2.2222222222222223E-2"/>
                  <c:y val="0.1527777777777777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6FDD69-0B5F-46A7-BF49-06341D5C181D}" type="CATEGORYNAME">
                      <a:rPr lang="en-US" b="1">
                        <a:solidFill>
                          <a:schemeClr val="bg1"/>
                        </a:solidFill>
                      </a:rPr>
                      <a:pPr>
                        <a:defRPr/>
                      </a:pPr>
                      <a:t>[CATEGORY NAME]</a:t>
                    </a:fld>
                    <a:r>
                      <a:rPr lang="en-US" b="1" baseline="0">
                        <a:solidFill>
                          <a:schemeClr val="bg1"/>
                        </a:solidFill>
                      </a:rPr>
                      <a:t>
</a:t>
                    </a:r>
                    <a:fld id="{69A4032A-64FF-4390-9ABA-34D736F5DE16}"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F467-4E78-AB38-8BD73D91E60D}"/>
                </c:ext>
              </c:extLst>
            </c:dLbl>
            <c:dLbl>
              <c:idx val="1"/>
              <c:layout>
                <c:manualLayout>
                  <c:x val="-9.1666666666666771E-2"/>
                  <c:y val="-8.796296296296296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5144157-DC7D-496F-A6C4-9EF3A43010BD}" type="CATEGORYNAME">
                      <a:rPr lang="en-US" b="1">
                        <a:solidFill>
                          <a:schemeClr val="bg1"/>
                        </a:solidFill>
                      </a:rPr>
                      <a:pPr>
                        <a:defRPr/>
                      </a:pPr>
                      <a:t>[CATEGORY NAME]</a:t>
                    </a:fld>
                    <a:r>
                      <a:rPr lang="en-US" b="1" baseline="0">
                        <a:solidFill>
                          <a:schemeClr val="bg1"/>
                        </a:solidFill>
                      </a:rPr>
                      <a:t>
</a:t>
                    </a:r>
                    <a:fld id="{26B2CAE0-2550-47DC-B1B8-3E2F0DA907B9}"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F467-4E78-AB38-8BD73D91E60D}"/>
                </c:ext>
              </c:extLst>
            </c:dLbl>
            <c:dLbl>
              <c:idx val="2"/>
              <c:layout>
                <c:manualLayout>
                  <c:x val="0.1111111111111111"/>
                  <c:y val="6.481481481481481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E5607C6-E920-4347-8DA3-7BE25AC392AA}" type="CATEGORYNAME">
                      <a:rPr lang="en-US" b="1">
                        <a:solidFill>
                          <a:schemeClr val="bg1"/>
                        </a:solidFill>
                      </a:rPr>
                      <a:pPr>
                        <a:defRPr/>
                      </a:pPr>
                      <a:t>[CATEGORY NAME]</a:t>
                    </a:fld>
                    <a:r>
                      <a:rPr lang="en-US" b="1" baseline="0">
                        <a:solidFill>
                          <a:schemeClr val="bg1"/>
                        </a:solidFill>
                      </a:rPr>
                      <a:t>
</a:t>
                    </a:r>
                    <a:fld id="{8DA135E5-264B-435F-B245-6C39DFC61BC9}"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F467-4E78-AB38-8BD73D91E60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HR</c:v>
              </c:pt>
              <c:pt idx="1">
                <c:v>R&amp;D</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6-F467-4E78-AB38-8BD73D91E60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 EXCEL PROJECT 2.xlsx]Age and marriage!PivotTable2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marriage'!$B$3</c:f>
              <c:strCache>
                <c:ptCount val="1"/>
                <c:pt idx="0">
                  <c:v>Total</c:v>
                </c:pt>
              </c:strCache>
            </c:strRef>
          </c:tx>
          <c:spPr>
            <a:solidFill>
              <a:schemeClr val="accent1"/>
            </a:solidFill>
            <a:ln>
              <a:noFill/>
            </a:ln>
            <a:effectLst/>
          </c:spPr>
          <c:invertIfNegative val="0"/>
          <c:cat>
            <c:strRef>
              <c:f>'Age and marriage'!$A$4:$A$9</c:f>
              <c:strCache>
                <c:ptCount val="5"/>
                <c:pt idx="0">
                  <c:v>Under 25</c:v>
                </c:pt>
                <c:pt idx="1">
                  <c:v>25 - 34</c:v>
                </c:pt>
                <c:pt idx="2">
                  <c:v>35 - 44</c:v>
                </c:pt>
                <c:pt idx="3">
                  <c:v>45 - 54</c:v>
                </c:pt>
                <c:pt idx="4">
                  <c:v>Over 55</c:v>
                </c:pt>
              </c:strCache>
            </c:strRef>
          </c:cat>
          <c:val>
            <c:numRef>
              <c:f>'Age and marriage'!$B$4:$B$9</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218F-4CD4-8140-910F55DF162E}"/>
            </c:ext>
          </c:extLst>
        </c:ser>
        <c:dLbls>
          <c:showLegendKey val="0"/>
          <c:showVal val="0"/>
          <c:showCatName val="0"/>
          <c:showSerName val="0"/>
          <c:showPercent val="0"/>
          <c:showBubbleSize val="0"/>
        </c:dLbls>
        <c:gapWidth val="219"/>
        <c:overlap val="-27"/>
        <c:axId val="1069594464"/>
        <c:axId val="1069591136"/>
      </c:barChart>
      <c:catAx>
        <c:axId val="10695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91136"/>
        <c:crosses val="autoZero"/>
        <c:auto val="1"/>
        <c:lblAlgn val="ctr"/>
        <c:lblOffset val="100"/>
        <c:noMultiLvlLbl val="0"/>
      </c:catAx>
      <c:valAx>
        <c:axId val="106959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9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4A7B74DE-2641-4283-8232-EE771198B7E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Marital Status</a:t>
          </a:r>
        </a:p>
      </cx:txPr>
    </cx:title>
    <cx:plotArea>
      <cx:plotAreaRegion>
        <cx:series layoutId="funnel" uniqueId="{93582864-E6B0-4534-9C81-BFA92BD27D84}">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4A7B74DE-2641-4283-8232-EE771198B7E2}">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Marital Status</a:t>
          </a:r>
        </a:p>
      </cx:txPr>
    </cx:title>
    <cx:plotArea>
      <cx:plotAreaRegion>
        <cx:series layoutId="funnel" uniqueId="{93582864-E6B0-4534-9C81-BFA92BD27D84}">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3175</xdr:colOff>
      <xdr:row>2</xdr:row>
      <xdr:rowOff>3175</xdr:rowOff>
    </xdr:from>
    <xdr:to>
      <xdr:col>8</xdr:col>
      <xdr:colOff>555625</xdr:colOff>
      <xdr:row>16</xdr:row>
      <xdr:rowOff>168275</xdr:rowOff>
    </xdr:to>
    <xdr:graphicFrame macro="">
      <xdr:nvGraphicFramePr>
        <xdr:cNvPr id="3" name="Chart 2">
          <a:extLst>
            <a:ext uri="{FF2B5EF4-FFF2-40B4-BE49-F238E27FC236}">
              <a16:creationId xmlns:a16="http://schemas.microsoft.com/office/drawing/2014/main" id="{5982EADE-4FDF-4DB5-9476-686468E9D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xdr:colOff>
      <xdr:row>18</xdr:row>
      <xdr:rowOff>180975</xdr:rowOff>
    </xdr:from>
    <xdr:to>
      <xdr:col>8</xdr:col>
      <xdr:colOff>555625</xdr:colOff>
      <xdr:row>33</xdr:row>
      <xdr:rowOff>161925</xdr:rowOff>
    </xdr:to>
    <xdr:graphicFrame macro="">
      <xdr:nvGraphicFramePr>
        <xdr:cNvPr id="4" name="Chart 3">
          <a:extLst>
            <a:ext uri="{FF2B5EF4-FFF2-40B4-BE49-F238E27FC236}">
              <a16:creationId xmlns:a16="http://schemas.microsoft.com/office/drawing/2014/main" id="{86E93797-E6B9-4D1D-B78A-EE10CB403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xdr:colOff>
      <xdr:row>36</xdr:row>
      <xdr:rowOff>9525</xdr:rowOff>
    </xdr:from>
    <xdr:to>
      <xdr:col>8</xdr:col>
      <xdr:colOff>555625</xdr:colOff>
      <xdr:row>50</xdr:row>
      <xdr:rowOff>174625</xdr:rowOff>
    </xdr:to>
    <xdr:graphicFrame macro="">
      <xdr:nvGraphicFramePr>
        <xdr:cNvPr id="5" name="Chart 4">
          <a:extLst>
            <a:ext uri="{FF2B5EF4-FFF2-40B4-BE49-F238E27FC236}">
              <a16:creationId xmlns:a16="http://schemas.microsoft.com/office/drawing/2014/main" id="{750D4F80-5A61-42D6-9634-C382917F8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396875</xdr:colOff>
      <xdr:row>52</xdr:row>
      <xdr:rowOff>6350</xdr:rowOff>
    </xdr:from>
    <xdr:to>
      <xdr:col>13</xdr:col>
      <xdr:colOff>92075</xdr:colOff>
      <xdr:row>66</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B1F89BF-1809-4210-87A5-85A854BC36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956425" y="9582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311150</xdr:colOff>
      <xdr:row>1</xdr:row>
      <xdr:rowOff>66675</xdr:rowOff>
    </xdr:from>
    <xdr:to>
      <xdr:col>10</xdr:col>
      <xdr:colOff>139700</xdr:colOff>
      <xdr:row>9</xdr:row>
      <xdr:rowOff>57150</xdr:rowOff>
    </xdr:to>
    <xdr:graphicFrame macro="">
      <xdr:nvGraphicFramePr>
        <xdr:cNvPr id="2" name="Chart 1">
          <a:extLst>
            <a:ext uri="{FF2B5EF4-FFF2-40B4-BE49-F238E27FC236}">
              <a16:creationId xmlns:a16="http://schemas.microsoft.com/office/drawing/2014/main" id="{D1FDBEAD-11B7-4C35-A64B-904BF5D1F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586468</xdr:colOff>
      <xdr:row>11</xdr:row>
      <xdr:rowOff>20260</xdr:rowOff>
    </xdr:from>
    <xdr:to>
      <xdr:col>14</xdr:col>
      <xdr:colOff>281668</xdr:colOff>
      <xdr:row>26</xdr:row>
      <xdr:rowOff>1210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B92E065-9D47-4740-8029-2A31847A84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16587" y="2015974"/>
              <a:ext cx="4533295" cy="2702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6</xdr:row>
      <xdr:rowOff>178245</xdr:rowOff>
    </xdr:from>
    <xdr:to>
      <xdr:col>7</xdr:col>
      <xdr:colOff>1893860</xdr:colOff>
      <xdr:row>24</xdr:row>
      <xdr:rowOff>0</xdr:rowOff>
    </xdr:to>
    <xdr:graphicFrame macro="">
      <xdr:nvGraphicFramePr>
        <xdr:cNvPr id="2" name="Chart 1">
          <a:extLst>
            <a:ext uri="{FF2B5EF4-FFF2-40B4-BE49-F238E27FC236}">
              <a16:creationId xmlns:a16="http://schemas.microsoft.com/office/drawing/2014/main" id="{C79EDA8C-10DD-4955-8310-1900CA13C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1994123</xdr:colOff>
      <xdr:row>6</xdr:row>
      <xdr:rowOff>167104</xdr:rowOff>
    </xdr:from>
    <xdr:to>
      <xdr:col>9</xdr:col>
      <xdr:colOff>1325702</xdr:colOff>
      <xdr:row>24</xdr:row>
      <xdr:rowOff>0</xdr:rowOff>
    </xdr:to>
    <xdr:graphicFrame macro="">
      <xdr:nvGraphicFramePr>
        <xdr:cNvPr id="3" name="Chart 2">
          <a:extLst>
            <a:ext uri="{FF2B5EF4-FFF2-40B4-BE49-F238E27FC236}">
              <a16:creationId xmlns:a16="http://schemas.microsoft.com/office/drawing/2014/main" id="{E3D7F560-9D37-40B3-9EC7-117202AD5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1403684</xdr:colOff>
      <xdr:row>6</xdr:row>
      <xdr:rowOff>189385</xdr:rowOff>
    </xdr:from>
    <xdr:to>
      <xdr:col>11</xdr:col>
      <xdr:colOff>0</xdr:colOff>
      <xdr:row>23</xdr:row>
      <xdr:rowOff>189384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DDD58B2-B8A6-41F5-AADE-7F1BE5766F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287807" y="1526227"/>
              <a:ext cx="5124561" cy="32195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12451</xdr:colOff>
      <xdr:row>24</xdr:row>
      <xdr:rowOff>161863</xdr:rowOff>
    </xdr:from>
    <xdr:to>
      <xdr:col>7</xdr:col>
      <xdr:colOff>1905000</xdr:colOff>
      <xdr:row>41</xdr:row>
      <xdr:rowOff>0</xdr:rowOff>
    </xdr:to>
    <xdr:graphicFrame macro="">
      <xdr:nvGraphicFramePr>
        <xdr:cNvPr id="5" name="Chart 4">
          <a:extLst>
            <a:ext uri="{FF2B5EF4-FFF2-40B4-BE49-F238E27FC236}">
              <a16:creationId xmlns:a16="http://schemas.microsoft.com/office/drawing/2014/main" id="{B9BB4108-23A8-441C-83D2-009B57907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2029511</xdr:colOff>
      <xdr:row>24</xdr:row>
      <xdr:rowOff>174313</xdr:rowOff>
    </xdr:from>
    <xdr:to>
      <xdr:col>9</xdr:col>
      <xdr:colOff>1344707</xdr:colOff>
      <xdr:row>41</xdr:row>
      <xdr:rowOff>0</xdr:rowOff>
    </xdr:to>
    <xdr:graphicFrame macro="">
      <xdr:nvGraphicFramePr>
        <xdr:cNvPr id="6" name="Chart 5">
          <a:extLst>
            <a:ext uri="{FF2B5EF4-FFF2-40B4-BE49-F238E27FC236}">
              <a16:creationId xmlns:a16="http://schemas.microsoft.com/office/drawing/2014/main" id="{0F4C75DB-E5F7-4E6A-9877-052B3E7DA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1444313</xdr:colOff>
      <xdr:row>24</xdr:row>
      <xdr:rowOff>161862</xdr:rowOff>
    </xdr:from>
    <xdr:to>
      <xdr:col>11</xdr:col>
      <xdr:colOff>0</xdr:colOff>
      <xdr:row>41</xdr:row>
      <xdr:rowOff>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1684280E-D536-4413-9A08-526261A7DD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314019" y="4843431"/>
              <a:ext cx="5080001" cy="30131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518583</xdr:colOff>
      <xdr:row>4</xdr:row>
      <xdr:rowOff>23283</xdr:rowOff>
    </xdr:from>
    <xdr:to>
      <xdr:col>5</xdr:col>
      <xdr:colOff>505883</xdr:colOff>
      <xdr:row>10</xdr:row>
      <xdr:rowOff>10584</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F963608D-8933-4E1E-96A3-98187AE8F9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37783" y="785283"/>
              <a:ext cx="1816100"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508000</xdr:colOff>
      <xdr:row>10</xdr:row>
      <xdr:rowOff>113998</xdr:rowOff>
    </xdr:from>
    <xdr:to>
      <xdr:col>5</xdr:col>
      <xdr:colOff>495300</xdr:colOff>
      <xdr:row>22</xdr:row>
      <xdr:rowOff>37797</xdr:rowOff>
    </xdr:to>
    <mc:AlternateContent xmlns:mc="http://schemas.openxmlformats.org/markup-compatibility/2006">
      <mc:Choice xmlns:a14="http://schemas.microsoft.com/office/drawing/2010/main" Requires="a14">
        <xdr:graphicFrame macro="">
          <xdr:nvGraphicFramePr>
            <xdr:cNvPr id="9" name="Education Field">
              <a:extLst>
                <a:ext uri="{FF2B5EF4-FFF2-40B4-BE49-F238E27FC236}">
                  <a16:creationId xmlns:a16="http://schemas.microsoft.com/office/drawing/2014/main" id="{6682220D-FE71-4544-8A78-CA338433FFD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727200" y="2222198"/>
              <a:ext cx="1816100" cy="220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498929</xdr:colOff>
      <xdr:row>22</xdr:row>
      <xdr:rowOff>110974</xdr:rowOff>
    </xdr:from>
    <xdr:to>
      <xdr:col>5</xdr:col>
      <xdr:colOff>486229</xdr:colOff>
      <xdr:row>27</xdr:row>
      <xdr:rowOff>130023</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C82A572F-B7F7-47AC-A995-3397EC00DD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18129" y="4505174"/>
              <a:ext cx="181610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refreshedDate="46312.814189814817" createdVersion="7" refreshedVersion="7" minRefreshableVersion="3" recordCount="1470" xr:uid="{E8261F4F-9844-4B2F-B0D6-A6A7F1B5EA10}">
  <cacheSource type="worksheet">
    <worksheetSource name="Table13"/>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65579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1D87D-7925-4B5E-AA28-B4DF56F8C4BB}"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E68ED-A309-438F-80A2-9189ECE59866}"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5:B6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BCDC3-A19E-4F7C-8988-3C931C1B06CC}" name="PivotTable8"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9:B43"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152A0A-47F3-4D98-8814-5C87A5C9E94E}"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7:B2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1"/>
    </i>
    <i>
      <x v="4"/>
    </i>
    <i>
      <x/>
    </i>
    <i>
      <x v="3"/>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1B4F4D-03E0-4F15-AFE2-BEF795521053}"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Number" fld="7"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C4A17-7A79-4B6B-B014-9D19D27AAA07}"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7:C21"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C922F8-B4C6-4339-B754-D38612613471}"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items count="6">
        <item x="4"/>
        <item x="2"/>
        <item x="0"/>
        <item x="1"/>
        <item x="3"/>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1D4635-EADD-4C3F-B9F5-7713DB059153}" sourceName="Department">
  <pivotTables>
    <pivotTable tabId="3" name="PivotTable2"/>
    <pivotTable tabId="7" name="PivotTable2"/>
    <pivotTable tabId="7" name="PivotTable3"/>
    <pivotTable tabId="3" name="PivotTable7"/>
    <pivotTable tabId="3" name="PivotTable8"/>
    <pivotTable tabId="3" name="PivotTable9"/>
    <pivotTable tabId="2" name="PivotTable1"/>
  </pivotTables>
  <data>
    <tabular pivotCacheId="36557963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A0EB9DA2-11EB-4BB6-AA96-059CE6FC9E3D}" sourceName="Education Field">
  <pivotTables>
    <pivotTable tabId="3" name="PivotTable2"/>
    <pivotTable tabId="7" name="PivotTable2"/>
    <pivotTable tabId="7" name="PivotTable3"/>
    <pivotTable tabId="3" name="PivotTable7"/>
    <pivotTable tabId="3" name="PivotTable8"/>
    <pivotTable tabId="3" name="PivotTable9"/>
    <pivotTable tabId="2" name="PivotTable1"/>
  </pivotTables>
  <data>
    <tabular pivotCacheId="365579635">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41C35E-F2CE-4403-9CCD-E6CCAFDB2ECE}" sourceName="Gender">
  <pivotTables>
    <pivotTable tabId="3" name="PivotTable2"/>
    <pivotTable tabId="7" name="PivotTable2"/>
    <pivotTable tabId="7" name="PivotTable3"/>
    <pivotTable tabId="3" name="PivotTable7"/>
    <pivotTable tabId="3" name="PivotTable8"/>
    <pivotTable tabId="3" name="PivotTable9"/>
    <pivotTable tabId="2" name="PivotTable1"/>
  </pivotTables>
  <data>
    <tabular pivotCacheId="36557963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2BC02A8-01E2-478E-83EB-245F533921DC}" cache="Slicer_Department" caption="Department" rowHeight="241300"/>
  <slicer name="Education Field" xr10:uid="{D04A2519-3001-43E7-AFBF-C0C2AB105B05}" cache="Slicer_Education_Field" caption="Education Field" rowHeight="241300"/>
  <slicer name="Gender" xr10:uid="{9D36D866-ACB6-458F-82E9-CEFDFF0C4C6E}"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827CF8-6A04-41DB-A6E8-029FAC11A742}" name="Table2" displayName="Table2" ref="A1:AR327" totalsRowShown="0">
  <autoFilter ref="A1:AR327" xr:uid="{BA827CF8-6A04-41DB-A6E8-029FAC11A742}"/>
  <tableColumns count="44">
    <tableColumn id="1" xr3:uid="{D8CEFF3F-89E2-438A-BEAE-FDD37499DB5D}" name="Attrition"/>
    <tableColumn id="2" xr3:uid="{8C54BB6C-3C83-4592-9381-967E6EC8358C}" name="Business Travel"/>
    <tableColumn id="3" xr3:uid="{267B5767-9535-4B48-918F-1EB525532572}" name="CF_age band"/>
    <tableColumn id="4" xr3:uid="{5CCFA0AA-E2E2-4493-A41A-D8E69F00A99F}" name="CF_attrition label"/>
    <tableColumn id="5" xr3:uid="{0C2C60EA-FEA4-4336-8A72-F60098D6361D}" name="Department"/>
    <tableColumn id="6" xr3:uid="{D9EC3FAC-E9F4-4360-9933-384A22227508}" name="Education Field"/>
    <tableColumn id="7" xr3:uid="{57F89EF7-92C2-4C0A-9798-FCF4C27F9496}" name="emp no"/>
    <tableColumn id="8" xr3:uid="{1D03DAF6-CBC5-478A-8E31-E41F4EF10A9E}" name="Employee Number"/>
    <tableColumn id="9" xr3:uid="{6680E8BB-865F-44B9-A5C1-B03B8A8AD59E}" name="Gender"/>
    <tableColumn id="10" xr3:uid="{EA9C0DD8-3F07-49F0-A43E-E693B9B7D306}" name="Job Role"/>
    <tableColumn id="11" xr3:uid="{39E3C903-D14B-4722-BC1B-24F16FD820BB}" name="Marital Status"/>
    <tableColumn id="12" xr3:uid="{0E4C2931-98EE-48BF-BC83-86207BD6E5EC}" name="Over Time"/>
    <tableColumn id="13" xr3:uid="{47AD32A3-8EB2-4E0E-8A6E-E8C4D9C7013A}" name="Over18"/>
    <tableColumn id="14" xr3:uid="{1F466452-BA8A-43B3-954E-5D0AAC776E7F}" name="Training Times Last Year"/>
    <tableColumn id="15" xr3:uid="{40C0701B-71C8-490A-8B3B-1040C0CF1532}" name="-2"/>
    <tableColumn id="16" xr3:uid="{2B191788-0F3F-4031-87F5-CC907143F38A}" name="0"/>
    <tableColumn id="17" xr3:uid="{991A5755-AF41-48C3-8A22-728327D8F087}" name="Age"/>
    <tableColumn id="18" xr3:uid="{36249426-DCC0-468A-8E22-68A4A537344F}" name="CF_attrition count"/>
    <tableColumn id="19" xr3:uid="{79A67168-8668-4EA0-92C3-0CD79A34B33E}" name="CF_attrition counts"/>
    <tableColumn id="20" xr3:uid="{E876AAE8-EC15-477B-95F4-9AA56132F4DF}" name="CF_attrition rate"/>
    <tableColumn id="21" xr3:uid="{A44D53EC-C5E1-4EBF-B91A-B6AE16666557}" name="CF_current Employee"/>
    <tableColumn id="22" xr3:uid="{0D3E6AF4-2A33-4C6A-8006-6C4CE781E99B}" name="Daily Rate"/>
    <tableColumn id="23" xr3:uid="{82D1F4CB-DF09-4291-BAEC-4C222B3A4852}" name="Distance From Home"/>
    <tableColumn id="24" xr3:uid="{36E513DB-4C70-49AF-9C8F-60B2387BEB1E}" name="Education"/>
    <tableColumn id="25" xr3:uid="{037697DF-4CBB-4BC9-9789-A818F6116447}" name="Employee Count"/>
    <tableColumn id="26" xr3:uid="{DFF93C97-E277-4A00-96F2-92D5EE4A052C}" name="Environment Satisfaction"/>
    <tableColumn id="27" xr3:uid="{4F494853-7E98-461C-830E-DF3FBAFC7403}" name="Hourly Rate"/>
    <tableColumn id="28" xr3:uid="{15463AB8-6E15-4DC1-A67C-E65B39B332ED}" name="Job Involvement"/>
    <tableColumn id="29" xr3:uid="{4319F2ED-D331-4F6B-A492-02589151B797}" name="Job Level"/>
    <tableColumn id="30" xr3:uid="{91132364-2531-4B9C-AC2A-67AFF6D3AC1D}" name="Job Satisfaction"/>
    <tableColumn id="31" xr3:uid="{52E76DF1-89C9-4F11-B4D6-6AA92E0C41DA}" name="Monthly Income"/>
    <tableColumn id="32" xr3:uid="{D5EB5E9F-F16A-464D-9ED2-0E1B25A96F95}" name="Monthly Rate"/>
    <tableColumn id="33" xr3:uid="{BB881B55-DFD0-4DE4-8133-2E38FA8918CB}" name="Num Companies Worked"/>
    <tableColumn id="34" xr3:uid="{FBC764BB-53CE-43AB-A967-EF17A980818C}" name="Percent Salary Hike"/>
    <tableColumn id="35" xr3:uid="{39DFF19A-0CFF-4565-A4CE-76FC28D8E97C}" name="Performance Rating"/>
    <tableColumn id="36" xr3:uid="{8FF1E627-709A-436E-B641-5A24F7A76072}" name="Relationship Satisfaction"/>
    <tableColumn id="37" xr3:uid="{11BFD928-3D20-4654-A836-1DBFCB7FCA98}" name="Standard Hours"/>
    <tableColumn id="38" xr3:uid="{714258B7-69B4-4967-BE54-D106F45E9C1A}" name="Stock Option Level"/>
    <tableColumn id="39" xr3:uid="{10459410-DF15-47BD-B63B-0D6246169659}" name="Total Working Years"/>
    <tableColumn id="40" xr3:uid="{665D5F5C-4D88-4F3B-9D64-9425901EAF82}" name="Work Life Balance"/>
    <tableColumn id="41" xr3:uid="{697714D9-2E2F-465D-AED4-B5F61CD1B7D0}" name="Years At Company"/>
    <tableColumn id="42" xr3:uid="{6C8D6EA0-DF33-4282-8493-18C962C2432E}" name="Years In Current Role"/>
    <tableColumn id="43" xr3:uid="{8D20FDE3-24BF-4E31-97E9-29915F07B4F6}" name="Years Since Last Promotion"/>
    <tableColumn id="44" xr3:uid="{8A9425C1-0DC2-4E52-9635-0BA90359BDDF}"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3864-C753-40AB-A530-F5DE2544830A}" name="Table13" displayName="Table13" ref="A1:AR1471" totalsRowShown="0">
  <autoFilter ref="A1:AR1471" xr:uid="{AF433864-C753-40AB-A530-F5DE2544830A}"/>
  <tableColumns count="44">
    <tableColumn id="1" xr3:uid="{DCCF1D1B-C272-41A3-A3C1-3034066A52AD}" name="Attrition"/>
    <tableColumn id="2" xr3:uid="{D48EDCC3-3530-4DF0-8E5A-53281F3DF65B}" name="Business Travel"/>
    <tableColumn id="3" xr3:uid="{364972E3-E9D5-4D0E-8197-631E0D206FCB}" name="CF_age band"/>
    <tableColumn id="4" xr3:uid="{E39AAEFA-DBD1-429A-9975-783CA0C0CE00}" name="CF_attrition label"/>
    <tableColumn id="5" xr3:uid="{78DE53A4-483B-4E30-8DC0-DF3311BFD8EA}" name="Department"/>
    <tableColumn id="6" xr3:uid="{1807FD53-FEAA-4FA8-961E-972CF91FEBDA}" name="Education Field"/>
    <tableColumn id="7" xr3:uid="{161CBF04-B457-4BF8-B508-B372CE1FAB0D}" name="emp no"/>
    <tableColumn id="8" xr3:uid="{AED08209-451F-497D-9D17-3D55B0F84345}" name="Employee Number"/>
    <tableColumn id="9" xr3:uid="{794FB2AB-A9C0-411D-93BD-6338F54E0398}" name="Gender"/>
    <tableColumn id="10" xr3:uid="{8C555725-15E2-462A-82F7-2F4C0B818AE2}" name="Job Role"/>
    <tableColumn id="11" xr3:uid="{83FD91FC-10D0-4195-B8E4-53A9752DE5FB}" name="Marital Status"/>
    <tableColumn id="12" xr3:uid="{ADA319BA-A72F-4793-8E5A-4492195A0079}" name="Over Time"/>
    <tableColumn id="13" xr3:uid="{76F8E446-CEE8-40B5-B3D2-411219EEE6F5}" name="Over18"/>
    <tableColumn id="14" xr3:uid="{80F22C11-3EA0-493A-8635-2E86EC3CDC76}" name="Training Times Last Year"/>
    <tableColumn id="15" xr3:uid="{B3D1083E-B555-47AE-88C5-D153BBC5FFD1}" name="-2"/>
    <tableColumn id="16" xr3:uid="{92A211E1-0CBF-4970-991D-D2A7B98041D2}" name="0"/>
    <tableColumn id="17" xr3:uid="{F63B634B-4361-44AE-B3E4-D606D537D913}" name="Age"/>
    <tableColumn id="18" xr3:uid="{B6982339-1123-4C1D-874A-96431BB5E156}" name="CF_attrition count"/>
    <tableColumn id="19" xr3:uid="{ACE91D6A-B0B4-49EA-97A5-9BB503F73510}" name="CF_attrition counts"/>
    <tableColumn id="20" xr3:uid="{25BB0DEA-FC9C-41A0-8499-76AEE5CA5828}" name="CF_attrition rate"/>
    <tableColumn id="21" xr3:uid="{0D836C4A-AB45-4A3C-83D4-27C11C34D029}" name="CF_current Employee"/>
    <tableColumn id="22" xr3:uid="{0A52CBD0-4DD0-4134-8E46-488D85CFC7C2}" name="Daily Rate"/>
    <tableColumn id="23" xr3:uid="{C64EF460-989F-4471-A25F-D2C74281112E}" name="Distance From Home"/>
    <tableColumn id="24" xr3:uid="{0EA73411-3654-4148-ACD1-B9F72A9697DD}" name="Education"/>
    <tableColumn id="25" xr3:uid="{EA74026E-271B-45C4-A471-F05870237E29}" name="Employee Count"/>
    <tableColumn id="26" xr3:uid="{501CB9F7-6B27-47C0-83D9-CF91300BCCE5}" name="Environment Satisfaction"/>
    <tableColumn id="27" xr3:uid="{F71CD133-E1BD-4FA9-9D58-31E4BFECE13D}" name="Hourly Rate"/>
    <tableColumn id="28" xr3:uid="{3BDE077F-092A-47C1-9CA2-9C397B4CF9CA}" name="Job Involvement"/>
    <tableColumn id="29" xr3:uid="{74C7B6CB-B631-410C-AA95-84B83A2FA3B5}" name="Job Level"/>
    <tableColumn id="30" xr3:uid="{4F07EF5D-286D-4EB6-9165-927512E06700}" name="Job Satisfaction"/>
    <tableColumn id="31" xr3:uid="{558C8B01-7AB8-4D44-B77C-1ABD7094D7FD}" name="Monthly Income"/>
    <tableColumn id="32" xr3:uid="{CA2E3FDB-E707-421D-BBEC-2F9097F5C761}" name="Monthly Rate"/>
    <tableColumn id="33" xr3:uid="{2AD19C61-4CCA-49A9-B6AF-D9A189171271}" name="Num Companies Worked"/>
    <tableColumn id="34" xr3:uid="{6B91B1C2-DC6E-43A6-81FF-778F9F55E4DF}" name="Percent Salary Hike"/>
    <tableColumn id="35" xr3:uid="{4E7EF49B-8917-4700-BF6E-57EBFDF8DEB0}" name="Performance Rating"/>
    <tableColumn id="36" xr3:uid="{B1BAB07A-E36D-4F09-B263-DBAE0E270AAD}" name="Relationship Satisfaction"/>
    <tableColumn id="37" xr3:uid="{497E4B36-7F1A-4A06-9C81-6A00C554023C}" name="Standard Hours"/>
    <tableColumn id="38" xr3:uid="{60ECA46F-E978-4720-9A36-1E29C8165655}" name="Stock Option Level"/>
    <tableColumn id="39" xr3:uid="{9DACF18C-6316-4A6A-AF65-C40DC2E6B1CC}" name="Total Working Years"/>
    <tableColumn id="40" xr3:uid="{701363AF-0949-4AB6-86A8-A8D58DA0C220}" name="Work Life Balance"/>
    <tableColumn id="41" xr3:uid="{91B36AE1-9B01-48A1-8144-24B4AF23909E}" name="Years At Company"/>
    <tableColumn id="42" xr3:uid="{C0C8F517-AABE-4680-B36E-C8D3B5E6D895}" name="Years In Current Role"/>
    <tableColumn id="43" xr3:uid="{D04073B1-BDC2-468E-8033-1DB0F1A883B6}" name="Years Since Last Promotion"/>
    <tableColumn id="44" xr3:uid="{A78755F7-54CE-40EF-93DE-4582B707DA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7D1B-4E00-4279-A946-1A72C1FDD7EB}">
  <dimension ref="A3:E7"/>
  <sheetViews>
    <sheetView workbookViewId="0">
      <selection activeCell="E7" sqref="A6:E7"/>
    </sheetView>
  </sheetViews>
  <sheetFormatPr defaultRowHeight="14.5" x14ac:dyDescent="0.35"/>
  <cols>
    <col min="1" max="1" width="24.26953125" bestFit="1" customWidth="1"/>
    <col min="2" max="2" width="23.453125" bestFit="1" customWidth="1"/>
    <col min="3" max="3" width="13.36328125" bestFit="1" customWidth="1"/>
    <col min="4" max="4" width="19.453125" bestFit="1" customWidth="1"/>
    <col min="5" max="5" width="15.453125" bestFit="1" customWidth="1"/>
  </cols>
  <sheetData>
    <row r="3" spans="1:5" x14ac:dyDescent="0.35">
      <c r="A3" t="s">
        <v>1555</v>
      </c>
      <c r="B3" t="s">
        <v>1556</v>
      </c>
      <c r="C3" t="s">
        <v>1557</v>
      </c>
    </row>
    <row r="4" spans="1:5" x14ac:dyDescent="0.35">
      <c r="A4" s="6">
        <v>1470</v>
      </c>
      <c r="B4" s="6">
        <v>237</v>
      </c>
      <c r="C4" s="6">
        <v>36.923809523809524</v>
      </c>
    </row>
    <row r="6" spans="1:5" ht="17" x14ac:dyDescent="0.5">
      <c r="A6" s="3" t="s">
        <v>1558</v>
      </c>
      <c r="B6" s="3" t="s">
        <v>1559</v>
      </c>
      <c r="C6" s="3" t="s">
        <v>1560</v>
      </c>
      <c r="D6" s="3" t="s">
        <v>1561</v>
      </c>
      <c r="E6" s="3" t="s">
        <v>1562</v>
      </c>
    </row>
    <row r="7" spans="1:5" x14ac:dyDescent="0.35">
      <c r="A7" s="1">
        <f>GETPIVOTDATA("Count of Employee Number",$A$3)</f>
        <v>1470</v>
      </c>
      <c r="B7" s="1">
        <f>GETPIVOTDATA("Sum of CF_attrition counts",$A$3)</f>
        <v>237</v>
      </c>
      <c r="C7" s="1">
        <f>GETPIVOTDATA("Average of Age",$A$3)</f>
        <v>36.923809523809524</v>
      </c>
      <c r="D7" s="1">
        <f>(A7-B7)</f>
        <v>1233</v>
      </c>
      <c r="E7" s="2">
        <f>(B7/A7)</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D6DF-F935-40E5-A175-D29A89D16363}">
  <dimension ref="A1:AR327"/>
  <sheetViews>
    <sheetView workbookViewId="0">
      <selection sqref="A1:AR327"/>
    </sheetView>
  </sheetViews>
  <sheetFormatPr defaultRowHeight="14.5" x14ac:dyDescent="0.35"/>
  <cols>
    <col min="1" max="1" width="10" customWidth="1"/>
    <col min="2" max="2" width="15.54296875" customWidth="1"/>
    <col min="3" max="3" width="13.453125" customWidth="1"/>
    <col min="4" max="4" width="17.26953125" customWidth="1"/>
    <col min="5" max="5" width="13.08984375" customWidth="1"/>
    <col min="6" max="6" width="15.54296875" customWidth="1"/>
    <col min="7" max="7" width="9.1796875" customWidth="1"/>
    <col min="8" max="8" width="18.26953125" customWidth="1"/>
    <col min="9" max="9" width="9" customWidth="1"/>
    <col min="10" max="10" width="9.7265625" customWidth="1"/>
    <col min="11" max="11" width="14.6328125" customWidth="1"/>
    <col min="12" max="12" width="11.36328125" customWidth="1"/>
    <col min="13" max="13" width="8.81640625" customWidth="1"/>
    <col min="14" max="14" width="22.90625" customWidth="1"/>
    <col min="18" max="18" width="18.08984375" customWidth="1"/>
    <col min="19" max="19" width="18.90625" customWidth="1"/>
    <col min="20" max="20" width="16.7265625" customWidth="1"/>
    <col min="21" max="21" width="20.6328125" customWidth="1"/>
    <col min="22" max="22" width="11.1796875" customWidth="1"/>
    <col min="23" max="23" width="20.26953125" customWidth="1"/>
    <col min="24" max="24" width="11.1796875" customWidth="1"/>
    <col min="25" max="25" width="16.54296875" customWidth="1"/>
    <col min="26" max="26" width="23.81640625" customWidth="1"/>
    <col min="27" max="27" width="12.6328125" customWidth="1"/>
    <col min="28" max="28" width="16.54296875" customWidth="1"/>
    <col min="29" max="29" width="10.26953125" customWidth="1"/>
    <col min="30" max="30" width="15.81640625" customWidth="1"/>
    <col min="31" max="31" width="16.54296875" customWidth="1"/>
    <col min="32" max="32" width="14.1796875" customWidth="1"/>
    <col min="33" max="33" width="23.7265625" customWidth="1"/>
    <col min="34" max="34" width="18.90625" customWidth="1"/>
    <col min="35" max="35" width="19.36328125" customWidth="1"/>
    <col min="36" max="36" width="23.36328125" customWidth="1"/>
    <col min="37" max="37" width="15.90625" customWidth="1"/>
    <col min="38" max="38" width="18.26953125" customWidth="1"/>
    <col min="39" max="39" width="19.6328125" customWidth="1"/>
    <col min="40" max="40" width="17.7265625" customWidth="1"/>
    <col min="41" max="41" width="18.08984375" customWidth="1"/>
    <col min="42" max="42" width="20.453125" customWidth="1"/>
    <col min="43" max="43" width="25.36328125" customWidth="1"/>
    <col min="44" max="44" width="23.9062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44</v>
      </c>
      <c r="B3" t="s">
        <v>57</v>
      </c>
      <c r="C3" t="s">
        <v>46</v>
      </c>
      <c r="D3" t="s">
        <v>47</v>
      </c>
      <c r="E3" t="s">
        <v>48</v>
      </c>
      <c r="F3" t="s">
        <v>66</v>
      </c>
      <c r="G3" t="s">
        <v>1551</v>
      </c>
      <c r="H3">
        <v>1667</v>
      </c>
      <c r="I3" t="s">
        <v>62</v>
      </c>
      <c r="J3" t="s">
        <v>52</v>
      </c>
      <c r="K3" t="s">
        <v>53</v>
      </c>
      <c r="L3" t="s">
        <v>44</v>
      </c>
      <c r="M3" t="s">
        <v>54</v>
      </c>
      <c r="N3">
        <v>2</v>
      </c>
      <c r="O3">
        <v>-2</v>
      </c>
      <c r="P3">
        <v>0</v>
      </c>
      <c r="Q3">
        <v>35</v>
      </c>
      <c r="R3">
        <v>1</v>
      </c>
      <c r="S3">
        <v>1</v>
      </c>
      <c r="T3">
        <v>1</v>
      </c>
      <c r="U3">
        <v>0</v>
      </c>
      <c r="V3">
        <v>880</v>
      </c>
      <c r="W3">
        <v>12</v>
      </c>
      <c r="X3" t="s">
        <v>71</v>
      </c>
      <c r="Y3">
        <v>1</v>
      </c>
      <c r="Z3">
        <v>4</v>
      </c>
      <c r="AA3">
        <v>36</v>
      </c>
      <c r="AB3">
        <v>3</v>
      </c>
      <c r="AC3">
        <v>2</v>
      </c>
      <c r="AD3">
        <v>4</v>
      </c>
      <c r="AE3">
        <v>4581</v>
      </c>
      <c r="AF3">
        <v>10414</v>
      </c>
      <c r="AG3">
        <v>3</v>
      </c>
      <c r="AH3">
        <v>24</v>
      </c>
      <c r="AI3">
        <v>4</v>
      </c>
      <c r="AJ3">
        <v>1</v>
      </c>
      <c r="AK3">
        <v>80</v>
      </c>
      <c r="AL3">
        <v>0</v>
      </c>
      <c r="AM3">
        <v>13</v>
      </c>
      <c r="AN3">
        <v>4</v>
      </c>
      <c r="AO3">
        <v>11</v>
      </c>
      <c r="AP3">
        <v>9</v>
      </c>
      <c r="AQ3">
        <v>6</v>
      </c>
      <c r="AR3">
        <v>7</v>
      </c>
    </row>
    <row r="4" spans="1:44" x14ac:dyDescent="0.35">
      <c r="A4" t="s">
        <v>44</v>
      </c>
      <c r="B4" t="s">
        <v>45</v>
      </c>
      <c r="C4" t="s">
        <v>69</v>
      </c>
      <c r="D4" t="s">
        <v>47</v>
      </c>
      <c r="E4" t="s">
        <v>48</v>
      </c>
      <c r="F4" t="s">
        <v>49</v>
      </c>
      <c r="G4" t="s">
        <v>1548</v>
      </c>
      <c r="H4">
        <v>1758</v>
      </c>
      <c r="I4" t="s">
        <v>51</v>
      </c>
      <c r="J4" t="s">
        <v>52</v>
      </c>
      <c r="K4" t="s">
        <v>53</v>
      </c>
      <c r="L4" t="s">
        <v>44</v>
      </c>
      <c r="M4" t="s">
        <v>54</v>
      </c>
      <c r="N4">
        <v>2</v>
      </c>
      <c r="O4">
        <v>-2</v>
      </c>
      <c r="P4">
        <v>0</v>
      </c>
      <c r="Q4">
        <v>33</v>
      </c>
      <c r="R4">
        <v>1</v>
      </c>
      <c r="S4">
        <v>1</v>
      </c>
      <c r="T4">
        <v>1</v>
      </c>
      <c r="U4">
        <v>0</v>
      </c>
      <c r="V4">
        <v>211</v>
      </c>
      <c r="W4">
        <v>16</v>
      </c>
      <c r="X4" t="s">
        <v>77</v>
      </c>
      <c r="Y4">
        <v>1</v>
      </c>
      <c r="Z4">
        <v>1</v>
      </c>
      <c r="AA4">
        <v>74</v>
      </c>
      <c r="AB4">
        <v>3</v>
      </c>
      <c r="AC4">
        <v>3</v>
      </c>
      <c r="AD4">
        <v>1</v>
      </c>
      <c r="AE4">
        <v>8564</v>
      </c>
      <c r="AF4">
        <v>10092</v>
      </c>
      <c r="AG4">
        <v>2</v>
      </c>
      <c r="AH4">
        <v>20</v>
      </c>
      <c r="AI4">
        <v>4</v>
      </c>
      <c r="AJ4">
        <v>3</v>
      </c>
      <c r="AK4">
        <v>80</v>
      </c>
      <c r="AL4">
        <v>0</v>
      </c>
      <c r="AM4">
        <v>11</v>
      </c>
      <c r="AN4">
        <v>2</v>
      </c>
      <c r="AO4">
        <v>0</v>
      </c>
      <c r="AP4">
        <v>0</v>
      </c>
      <c r="AQ4">
        <v>0</v>
      </c>
      <c r="AR4">
        <v>0</v>
      </c>
    </row>
    <row r="5" spans="1:44" x14ac:dyDescent="0.35">
      <c r="A5" t="s">
        <v>44</v>
      </c>
      <c r="B5" t="s">
        <v>45</v>
      </c>
      <c r="C5" t="s">
        <v>69</v>
      </c>
      <c r="D5" t="s">
        <v>47</v>
      </c>
      <c r="E5" t="s">
        <v>48</v>
      </c>
      <c r="F5" t="s">
        <v>72</v>
      </c>
      <c r="G5" t="s">
        <v>1547</v>
      </c>
      <c r="H5">
        <v>1489</v>
      </c>
      <c r="I5" t="s">
        <v>51</v>
      </c>
      <c r="J5" t="s">
        <v>52</v>
      </c>
      <c r="K5" t="s">
        <v>53</v>
      </c>
      <c r="L5" t="s">
        <v>44</v>
      </c>
      <c r="M5" t="s">
        <v>54</v>
      </c>
      <c r="N5">
        <v>2</v>
      </c>
      <c r="O5">
        <v>-2</v>
      </c>
      <c r="P5">
        <v>0</v>
      </c>
      <c r="Q5">
        <v>34</v>
      </c>
      <c r="R5">
        <v>1</v>
      </c>
      <c r="S5">
        <v>1</v>
      </c>
      <c r="T5">
        <v>1</v>
      </c>
      <c r="U5">
        <v>0</v>
      </c>
      <c r="V5">
        <v>790</v>
      </c>
      <c r="W5">
        <v>24</v>
      </c>
      <c r="X5" t="s">
        <v>71</v>
      </c>
      <c r="Y5">
        <v>1</v>
      </c>
      <c r="Z5">
        <v>1</v>
      </c>
      <c r="AA5">
        <v>40</v>
      </c>
      <c r="AB5">
        <v>2</v>
      </c>
      <c r="AC5">
        <v>2</v>
      </c>
      <c r="AD5">
        <v>2</v>
      </c>
      <c r="AE5">
        <v>4599</v>
      </c>
      <c r="AF5">
        <v>7815</v>
      </c>
      <c r="AG5">
        <v>0</v>
      </c>
      <c r="AH5">
        <v>23</v>
      </c>
      <c r="AI5">
        <v>4</v>
      </c>
      <c r="AJ5">
        <v>3</v>
      </c>
      <c r="AK5">
        <v>80</v>
      </c>
      <c r="AL5">
        <v>0</v>
      </c>
      <c r="AM5">
        <v>16</v>
      </c>
      <c r="AN5">
        <v>4</v>
      </c>
      <c r="AO5">
        <v>15</v>
      </c>
      <c r="AP5">
        <v>9</v>
      </c>
      <c r="AQ5">
        <v>10</v>
      </c>
      <c r="AR5">
        <v>10</v>
      </c>
    </row>
    <row r="6" spans="1:44" x14ac:dyDescent="0.35">
      <c r="A6" t="s">
        <v>44</v>
      </c>
      <c r="B6" t="s">
        <v>45</v>
      </c>
      <c r="C6" t="s">
        <v>58</v>
      </c>
      <c r="D6" t="s">
        <v>47</v>
      </c>
      <c r="E6" t="s">
        <v>48</v>
      </c>
      <c r="F6" t="s">
        <v>49</v>
      </c>
      <c r="G6" t="s">
        <v>1544</v>
      </c>
      <c r="H6">
        <v>1869</v>
      </c>
      <c r="I6" t="s">
        <v>51</v>
      </c>
      <c r="J6" t="s">
        <v>52</v>
      </c>
      <c r="K6" t="s">
        <v>64</v>
      </c>
      <c r="L6" t="s">
        <v>56</v>
      </c>
      <c r="M6" t="s">
        <v>54</v>
      </c>
      <c r="N6">
        <v>2</v>
      </c>
      <c r="O6">
        <v>-2</v>
      </c>
      <c r="P6">
        <v>0</v>
      </c>
      <c r="Q6">
        <v>46</v>
      </c>
      <c r="R6">
        <v>1</v>
      </c>
      <c r="S6">
        <v>1</v>
      </c>
      <c r="T6">
        <v>1</v>
      </c>
      <c r="U6">
        <v>0</v>
      </c>
      <c r="V6">
        <v>1254</v>
      </c>
      <c r="W6">
        <v>10</v>
      </c>
      <c r="X6" t="s">
        <v>77</v>
      </c>
      <c r="Y6">
        <v>1</v>
      </c>
      <c r="Z6">
        <v>3</v>
      </c>
      <c r="AA6">
        <v>64</v>
      </c>
      <c r="AB6">
        <v>3</v>
      </c>
      <c r="AC6">
        <v>3</v>
      </c>
      <c r="AD6">
        <v>2</v>
      </c>
      <c r="AE6">
        <v>7314</v>
      </c>
      <c r="AF6">
        <v>14011</v>
      </c>
      <c r="AG6">
        <v>5</v>
      </c>
      <c r="AH6">
        <v>21</v>
      </c>
      <c r="AI6">
        <v>4</v>
      </c>
      <c r="AJ6">
        <v>3</v>
      </c>
      <c r="AK6">
        <v>80</v>
      </c>
      <c r="AL6">
        <v>3</v>
      </c>
      <c r="AM6">
        <v>14</v>
      </c>
      <c r="AN6">
        <v>3</v>
      </c>
      <c r="AO6">
        <v>8</v>
      </c>
      <c r="AP6">
        <v>7</v>
      </c>
      <c r="AQ6">
        <v>0</v>
      </c>
      <c r="AR6">
        <v>7</v>
      </c>
    </row>
    <row r="7" spans="1:44" x14ac:dyDescent="0.35">
      <c r="A7" t="s">
        <v>44</v>
      </c>
      <c r="B7" t="s">
        <v>45</v>
      </c>
      <c r="C7" t="s">
        <v>46</v>
      </c>
      <c r="D7" t="s">
        <v>47</v>
      </c>
      <c r="E7" t="s">
        <v>48</v>
      </c>
      <c r="F7" t="s">
        <v>49</v>
      </c>
      <c r="G7" t="s">
        <v>1542</v>
      </c>
      <c r="H7">
        <v>1797</v>
      </c>
      <c r="I7" t="s">
        <v>62</v>
      </c>
      <c r="J7" t="s">
        <v>52</v>
      </c>
      <c r="K7" t="s">
        <v>53</v>
      </c>
      <c r="L7" t="s">
        <v>44</v>
      </c>
      <c r="M7" t="s">
        <v>54</v>
      </c>
      <c r="N7">
        <v>2</v>
      </c>
      <c r="O7">
        <v>-2</v>
      </c>
      <c r="P7">
        <v>0</v>
      </c>
      <c r="Q7">
        <v>35</v>
      </c>
      <c r="R7">
        <v>1</v>
      </c>
      <c r="S7">
        <v>1</v>
      </c>
      <c r="T7">
        <v>1</v>
      </c>
      <c r="U7">
        <v>0</v>
      </c>
      <c r="V7">
        <v>303</v>
      </c>
      <c r="W7">
        <v>27</v>
      </c>
      <c r="X7" t="s">
        <v>77</v>
      </c>
      <c r="Y7">
        <v>1</v>
      </c>
      <c r="Z7">
        <v>3</v>
      </c>
      <c r="AA7">
        <v>84</v>
      </c>
      <c r="AB7">
        <v>3</v>
      </c>
      <c r="AC7">
        <v>2</v>
      </c>
      <c r="AD7">
        <v>4</v>
      </c>
      <c r="AE7">
        <v>5813</v>
      </c>
      <c r="AF7">
        <v>13492</v>
      </c>
      <c r="AG7">
        <v>1</v>
      </c>
      <c r="AH7">
        <v>18</v>
      </c>
      <c r="AI7">
        <v>3</v>
      </c>
      <c r="AJ7">
        <v>4</v>
      </c>
      <c r="AK7">
        <v>80</v>
      </c>
      <c r="AL7">
        <v>0</v>
      </c>
      <c r="AM7">
        <v>10</v>
      </c>
      <c r="AN7">
        <v>3</v>
      </c>
      <c r="AO7">
        <v>10</v>
      </c>
      <c r="AP7">
        <v>7</v>
      </c>
      <c r="AQ7">
        <v>7</v>
      </c>
      <c r="AR7">
        <v>7</v>
      </c>
    </row>
    <row r="8" spans="1:44" x14ac:dyDescent="0.35">
      <c r="A8" t="s">
        <v>44</v>
      </c>
      <c r="B8" t="s">
        <v>45</v>
      </c>
      <c r="C8" t="s">
        <v>69</v>
      </c>
      <c r="D8" t="s">
        <v>47</v>
      </c>
      <c r="E8" t="s">
        <v>48</v>
      </c>
      <c r="F8" t="s">
        <v>106</v>
      </c>
      <c r="G8" t="s">
        <v>1541</v>
      </c>
      <c r="H8">
        <v>1862</v>
      </c>
      <c r="I8" t="s">
        <v>62</v>
      </c>
      <c r="J8" t="s">
        <v>52</v>
      </c>
      <c r="K8" t="s">
        <v>53</v>
      </c>
      <c r="L8" t="s">
        <v>44</v>
      </c>
      <c r="M8" t="s">
        <v>54</v>
      </c>
      <c r="N8">
        <v>3</v>
      </c>
      <c r="O8">
        <v>-2</v>
      </c>
      <c r="P8">
        <v>0</v>
      </c>
      <c r="Q8">
        <v>32</v>
      </c>
      <c r="R8">
        <v>1</v>
      </c>
      <c r="S8">
        <v>1</v>
      </c>
      <c r="T8">
        <v>1</v>
      </c>
      <c r="U8">
        <v>0</v>
      </c>
      <c r="V8">
        <v>414</v>
      </c>
      <c r="W8">
        <v>2</v>
      </c>
      <c r="X8" t="s">
        <v>71</v>
      </c>
      <c r="Y8">
        <v>1</v>
      </c>
      <c r="Z8">
        <v>3</v>
      </c>
      <c r="AA8">
        <v>82</v>
      </c>
      <c r="AB8">
        <v>2</v>
      </c>
      <c r="AC8">
        <v>2</v>
      </c>
      <c r="AD8">
        <v>2</v>
      </c>
      <c r="AE8">
        <v>9907</v>
      </c>
      <c r="AF8">
        <v>26186</v>
      </c>
      <c r="AG8">
        <v>7</v>
      </c>
      <c r="AH8">
        <v>12</v>
      </c>
      <c r="AI8">
        <v>3</v>
      </c>
      <c r="AJ8">
        <v>3</v>
      </c>
      <c r="AK8">
        <v>80</v>
      </c>
      <c r="AL8">
        <v>0</v>
      </c>
      <c r="AM8">
        <v>7</v>
      </c>
      <c r="AN8">
        <v>2</v>
      </c>
      <c r="AO8">
        <v>2</v>
      </c>
      <c r="AP8">
        <v>2</v>
      </c>
      <c r="AQ8">
        <v>2</v>
      </c>
      <c r="AR8">
        <v>2</v>
      </c>
    </row>
    <row r="9" spans="1:44" x14ac:dyDescent="0.35">
      <c r="A9" t="s">
        <v>44</v>
      </c>
      <c r="B9" t="s">
        <v>45</v>
      </c>
      <c r="C9" t="s">
        <v>58</v>
      </c>
      <c r="D9" t="s">
        <v>47</v>
      </c>
      <c r="E9" t="s">
        <v>48</v>
      </c>
      <c r="F9" t="s">
        <v>49</v>
      </c>
      <c r="G9" t="s">
        <v>1540</v>
      </c>
      <c r="H9">
        <v>1968</v>
      </c>
      <c r="I9" t="s">
        <v>62</v>
      </c>
      <c r="J9" t="s">
        <v>52</v>
      </c>
      <c r="K9" t="s">
        <v>53</v>
      </c>
      <c r="L9" t="s">
        <v>44</v>
      </c>
      <c r="M9" t="s">
        <v>54</v>
      </c>
      <c r="N9">
        <v>2</v>
      </c>
      <c r="O9">
        <v>-2</v>
      </c>
      <c r="P9">
        <v>0</v>
      </c>
      <c r="Q9">
        <v>53</v>
      </c>
      <c r="R9">
        <v>1</v>
      </c>
      <c r="S9">
        <v>1</v>
      </c>
      <c r="T9">
        <v>1</v>
      </c>
      <c r="U9">
        <v>0</v>
      </c>
      <c r="V9">
        <v>1168</v>
      </c>
      <c r="W9">
        <v>24</v>
      </c>
      <c r="X9" t="s">
        <v>71</v>
      </c>
      <c r="Y9">
        <v>1</v>
      </c>
      <c r="Z9">
        <v>1</v>
      </c>
      <c r="AA9">
        <v>66</v>
      </c>
      <c r="AB9">
        <v>3</v>
      </c>
      <c r="AC9">
        <v>3</v>
      </c>
      <c r="AD9">
        <v>1</v>
      </c>
      <c r="AE9">
        <v>10448</v>
      </c>
      <c r="AF9">
        <v>5843</v>
      </c>
      <c r="AG9">
        <v>6</v>
      </c>
      <c r="AH9">
        <v>13</v>
      </c>
      <c r="AI9">
        <v>3</v>
      </c>
      <c r="AJ9">
        <v>2</v>
      </c>
      <c r="AK9">
        <v>80</v>
      </c>
      <c r="AL9">
        <v>0</v>
      </c>
      <c r="AM9">
        <v>15</v>
      </c>
      <c r="AN9">
        <v>2</v>
      </c>
      <c r="AO9">
        <v>2</v>
      </c>
      <c r="AP9">
        <v>2</v>
      </c>
      <c r="AQ9">
        <v>2</v>
      </c>
      <c r="AR9">
        <v>2</v>
      </c>
    </row>
    <row r="10" spans="1:44" x14ac:dyDescent="0.35">
      <c r="A10" t="s">
        <v>44</v>
      </c>
      <c r="B10" t="s">
        <v>45</v>
      </c>
      <c r="C10" t="s">
        <v>46</v>
      </c>
      <c r="D10" t="s">
        <v>47</v>
      </c>
      <c r="E10" t="s">
        <v>48</v>
      </c>
      <c r="F10" t="s">
        <v>106</v>
      </c>
      <c r="G10" t="s">
        <v>1539</v>
      </c>
      <c r="H10">
        <v>1733</v>
      </c>
      <c r="I10" t="s">
        <v>62</v>
      </c>
      <c r="J10" t="s">
        <v>52</v>
      </c>
      <c r="K10" t="s">
        <v>79</v>
      </c>
      <c r="L10" t="s">
        <v>44</v>
      </c>
      <c r="M10" t="s">
        <v>54</v>
      </c>
      <c r="N10">
        <v>3</v>
      </c>
      <c r="O10">
        <v>-2</v>
      </c>
      <c r="P10">
        <v>0</v>
      </c>
      <c r="Q10">
        <v>36</v>
      </c>
      <c r="R10">
        <v>1</v>
      </c>
      <c r="S10">
        <v>1</v>
      </c>
      <c r="T10">
        <v>1</v>
      </c>
      <c r="U10">
        <v>0</v>
      </c>
      <c r="V10">
        <v>1456</v>
      </c>
      <c r="W10">
        <v>13</v>
      </c>
      <c r="X10" t="s">
        <v>134</v>
      </c>
      <c r="Y10">
        <v>1</v>
      </c>
      <c r="Z10">
        <v>2</v>
      </c>
      <c r="AA10">
        <v>96</v>
      </c>
      <c r="AB10">
        <v>2</v>
      </c>
      <c r="AC10">
        <v>2</v>
      </c>
      <c r="AD10">
        <v>1</v>
      </c>
      <c r="AE10">
        <v>6134</v>
      </c>
      <c r="AF10">
        <v>8658</v>
      </c>
      <c r="AG10">
        <v>5</v>
      </c>
      <c r="AH10">
        <v>13</v>
      </c>
      <c r="AI10">
        <v>3</v>
      </c>
      <c r="AJ10">
        <v>2</v>
      </c>
      <c r="AK10">
        <v>80</v>
      </c>
      <c r="AL10">
        <v>3</v>
      </c>
      <c r="AM10">
        <v>16</v>
      </c>
      <c r="AN10">
        <v>3</v>
      </c>
      <c r="AO10">
        <v>2</v>
      </c>
      <c r="AP10">
        <v>2</v>
      </c>
      <c r="AQ10">
        <v>2</v>
      </c>
      <c r="AR10">
        <v>2</v>
      </c>
    </row>
    <row r="11" spans="1:44" x14ac:dyDescent="0.35">
      <c r="A11" t="s">
        <v>44</v>
      </c>
      <c r="B11" t="s">
        <v>45</v>
      </c>
      <c r="C11" t="s">
        <v>46</v>
      </c>
      <c r="D11" t="s">
        <v>47</v>
      </c>
      <c r="E11" t="s">
        <v>48</v>
      </c>
      <c r="F11" t="s">
        <v>72</v>
      </c>
      <c r="G11" t="s">
        <v>1538</v>
      </c>
      <c r="H11">
        <v>1645</v>
      </c>
      <c r="I11" t="s">
        <v>62</v>
      </c>
      <c r="J11" t="s">
        <v>52</v>
      </c>
      <c r="K11" t="s">
        <v>79</v>
      </c>
      <c r="L11" t="s">
        <v>44</v>
      </c>
      <c r="M11" t="s">
        <v>54</v>
      </c>
      <c r="N11">
        <v>2</v>
      </c>
      <c r="O11">
        <v>-2</v>
      </c>
      <c r="P11">
        <v>0</v>
      </c>
      <c r="Q11">
        <v>35</v>
      </c>
      <c r="R11">
        <v>1</v>
      </c>
      <c r="S11">
        <v>1</v>
      </c>
      <c r="T11">
        <v>1</v>
      </c>
      <c r="U11">
        <v>0</v>
      </c>
      <c r="V11">
        <v>763</v>
      </c>
      <c r="W11">
        <v>15</v>
      </c>
      <c r="X11" t="s">
        <v>55</v>
      </c>
      <c r="Y11">
        <v>1</v>
      </c>
      <c r="Z11">
        <v>1</v>
      </c>
      <c r="AA11">
        <v>59</v>
      </c>
      <c r="AB11">
        <v>1</v>
      </c>
      <c r="AC11">
        <v>2</v>
      </c>
      <c r="AD11">
        <v>4</v>
      </c>
      <c r="AE11">
        <v>5440</v>
      </c>
      <c r="AF11">
        <v>22098</v>
      </c>
      <c r="AG11">
        <v>6</v>
      </c>
      <c r="AH11">
        <v>14</v>
      </c>
      <c r="AI11">
        <v>3</v>
      </c>
      <c r="AJ11">
        <v>4</v>
      </c>
      <c r="AK11">
        <v>80</v>
      </c>
      <c r="AL11">
        <v>2</v>
      </c>
      <c r="AM11">
        <v>7</v>
      </c>
      <c r="AN11">
        <v>2</v>
      </c>
      <c r="AO11">
        <v>2</v>
      </c>
      <c r="AP11">
        <v>2</v>
      </c>
      <c r="AQ11">
        <v>2</v>
      </c>
      <c r="AR11">
        <v>2</v>
      </c>
    </row>
    <row r="12" spans="1:44" x14ac:dyDescent="0.35">
      <c r="A12" t="s">
        <v>44</v>
      </c>
      <c r="B12" t="s">
        <v>45</v>
      </c>
      <c r="C12" t="s">
        <v>58</v>
      </c>
      <c r="D12" t="s">
        <v>47</v>
      </c>
      <c r="E12" t="s">
        <v>48</v>
      </c>
      <c r="F12" t="s">
        <v>106</v>
      </c>
      <c r="G12" t="s">
        <v>1537</v>
      </c>
      <c r="H12">
        <v>2055</v>
      </c>
      <c r="I12" t="s">
        <v>62</v>
      </c>
      <c r="J12" t="s">
        <v>52</v>
      </c>
      <c r="K12" t="s">
        <v>79</v>
      </c>
      <c r="L12" t="s">
        <v>44</v>
      </c>
      <c r="M12" t="s">
        <v>54</v>
      </c>
      <c r="N12">
        <v>3</v>
      </c>
      <c r="O12">
        <v>-2</v>
      </c>
      <c r="P12">
        <v>0</v>
      </c>
      <c r="Q12">
        <v>50</v>
      </c>
      <c r="R12">
        <v>1</v>
      </c>
      <c r="S12">
        <v>1</v>
      </c>
      <c r="T12">
        <v>1</v>
      </c>
      <c r="U12">
        <v>0</v>
      </c>
      <c r="V12">
        <v>410</v>
      </c>
      <c r="W12">
        <v>28</v>
      </c>
      <c r="X12" t="s">
        <v>77</v>
      </c>
      <c r="Y12">
        <v>1</v>
      </c>
      <c r="Z12">
        <v>4</v>
      </c>
      <c r="AA12">
        <v>39</v>
      </c>
      <c r="AB12">
        <v>2</v>
      </c>
      <c r="AC12">
        <v>3</v>
      </c>
      <c r="AD12">
        <v>1</v>
      </c>
      <c r="AE12">
        <v>10854</v>
      </c>
      <c r="AF12">
        <v>16586</v>
      </c>
      <c r="AG12">
        <v>4</v>
      </c>
      <c r="AH12">
        <v>13</v>
      </c>
      <c r="AI12">
        <v>3</v>
      </c>
      <c r="AJ12">
        <v>2</v>
      </c>
      <c r="AK12">
        <v>80</v>
      </c>
      <c r="AL12">
        <v>1</v>
      </c>
      <c r="AM12">
        <v>20</v>
      </c>
      <c r="AN12">
        <v>3</v>
      </c>
      <c r="AO12">
        <v>3</v>
      </c>
      <c r="AP12">
        <v>2</v>
      </c>
      <c r="AQ12">
        <v>2</v>
      </c>
      <c r="AR12">
        <v>0</v>
      </c>
    </row>
    <row r="13" spans="1:44" x14ac:dyDescent="0.35">
      <c r="A13" t="s">
        <v>44</v>
      </c>
      <c r="B13" t="s">
        <v>57</v>
      </c>
      <c r="C13" t="s">
        <v>69</v>
      </c>
      <c r="D13" t="s">
        <v>47</v>
      </c>
      <c r="E13" t="s">
        <v>48</v>
      </c>
      <c r="F13" t="s">
        <v>106</v>
      </c>
      <c r="G13" t="s">
        <v>1531</v>
      </c>
      <c r="H13">
        <v>1967</v>
      </c>
      <c r="I13" t="s">
        <v>62</v>
      </c>
      <c r="J13" t="s">
        <v>52</v>
      </c>
      <c r="K13" t="s">
        <v>64</v>
      </c>
      <c r="L13" t="s">
        <v>44</v>
      </c>
      <c r="M13" t="s">
        <v>54</v>
      </c>
      <c r="N13">
        <v>4</v>
      </c>
      <c r="O13">
        <v>-2</v>
      </c>
      <c r="P13">
        <v>0</v>
      </c>
      <c r="Q13">
        <v>31</v>
      </c>
      <c r="R13">
        <v>1</v>
      </c>
      <c r="S13">
        <v>1</v>
      </c>
      <c r="T13">
        <v>1</v>
      </c>
      <c r="U13">
        <v>0</v>
      </c>
      <c r="V13">
        <v>754</v>
      </c>
      <c r="W13">
        <v>26</v>
      </c>
      <c r="X13" t="s">
        <v>71</v>
      </c>
      <c r="Y13">
        <v>1</v>
      </c>
      <c r="Z13">
        <v>1</v>
      </c>
      <c r="AA13">
        <v>63</v>
      </c>
      <c r="AB13">
        <v>3</v>
      </c>
      <c r="AC13">
        <v>2</v>
      </c>
      <c r="AD13">
        <v>1</v>
      </c>
      <c r="AE13">
        <v>5617</v>
      </c>
      <c r="AF13">
        <v>21075</v>
      </c>
      <c r="AG13">
        <v>1</v>
      </c>
      <c r="AH13">
        <v>11</v>
      </c>
      <c r="AI13">
        <v>3</v>
      </c>
      <c r="AJ13">
        <v>3</v>
      </c>
      <c r="AK13">
        <v>80</v>
      </c>
      <c r="AL13">
        <v>0</v>
      </c>
      <c r="AM13">
        <v>10</v>
      </c>
      <c r="AN13">
        <v>3</v>
      </c>
      <c r="AO13">
        <v>10</v>
      </c>
      <c r="AP13">
        <v>7</v>
      </c>
      <c r="AQ13">
        <v>0</v>
      </c>
      <c r="AR13">
        <v>8</v>
      </c>
    </row>
    <row r="14" spans="1:44" x14ac:dyDescent="0.35">
      <c r="A14" t="s">
        <v>44</v>
      </c>
      <c r="B14" t="s">
        <v>45</v>
      </c>
      <c r="C14" t="s">
        <v>69</v>
      </c>
      <c r="D14" t="s">
        <v>47</v>
      </c>
      <c r="E14" t="s">
        <v>48</v>
      </c>
      <c r="F14" t="s">
        <v>106</v>
      </c>
      <c r="G14" t="s">
        <v>1526</v>
      </c>
      <c r="H14">
        <v>1933</v>
      </c>
      <c r="I14" t="s">
        <v>51</v>
      </c>
      <c r="J14" t="s">
        <v>52</v>
      </c>
      <c r="K14" t="s">
        <v>53</v>
      </c>
      <c r="L14" t="s">
        <v>44</v>
      </c>
      <c r="M14" t="s">
        <v>54</v>
      </c>
      <c r="N14">
        <v>0</v>
      </c>
      <c r="O14">
        <v>-2</v>
      </c>
      <c r="P14">
        <v>0</v>
      </c>
      <c r="Q14">
        <v>28</v>
      </c>
      <c r="R14">
        <v>1</v>
      </c>
      <c r="S14">
        <v>1</v>
      </c>
      <c r="T14">
        <v>1</v>
      </c>
      <c r="U14">
        <v>0</v>
      </c>
      <c r="V14">
        <v>1475</v>
      </c>
      <c r="W14">
        <v>13</v>
      </c>
      <c r="X14" t="s">
        <v>55</v>
      </c>
      <c r="Y14">
        <v>1</v>
      </c>
      <c r="Z14">
        <v>4</v>
      </c>
      <c r="AA14">
        <v>84</v>
      </c>
      <c r="AB14">
        <v>3</v>
      </c>
      <c r="AC14">
        <v>2</v>
      </c>
      <c r="AD14">
        <v>1</v>
      </c>
      <c r="AE14">
        <v>9854</v>
      </c>
      <c r="AF14">
        <v>23352</v>
      </c>
      <c r="AG14">
        <v>3</v>
      </c>
      <c r="AH14">
        <v>11</v>
      </c>
      <c r="AI14">
        <v>3</v>
      </c>
      <c r="AJ14">
        <v>4</v>
      </c>
      <c r="AK14">
        <v>80</v>
      </c>
      <c r="AL14">
        <v>0</v>
      </c>
      <c r="AM14">
        <v>6</v>
      </c>
      <c r="AN14">
        <v>3</v>
      </c>
      <c r="AO14">
        <v>2</v>
      </c>
      <c r="AP14">
        <v>0</v>
      </c>
      <c r="AQ14">
        <v>2</v>
      </c>
      <c r="AR14">
        <v>2</v>
      </c>
    </row>
    <row r="15" spans="1:44" x14ac:dyDescent="0.35">
      <c r="A15" t="s">
        <v>44</v>
      </c>
      <c r="B15" t="s">
        <v>45</v>
      </c>
      <c r="C15" t="s">
        <v>69</v>
      </c>
      <c r="D15" t="s">
        <v>47</v>
      </c>
      <c r="E15" t="s">
        <v>48</v>
      </c>
      <c r="F15" t="s">
        <v>49</v>
      </c>
      <c r="G15" t="s">
        <v>1516</v>
      </c>
      <c r="H15">
        <v>1734</v>
      </c>
      <c r="I15" t="s">
        <v>62</v>
      </c>
      <c r="J15" t="s">
        <v>52</v>
      </c>
      <c r="K15" t="s">
        <v>53</v>
      </c>
      <c r="L15" t="s">
        <v>56</v>
      </c>
      <c r="M15" t="s">
        <v>54</v>
      </c>
      <c r="N15">
        <v>2</v>
      </c>
      <c r="O15">
        <v>-2</v>
      </c>
      <c r="P15">
        <v>0</v>
      </c>
      <c r="Q15">
        <v>32</v>
      </c>
      <c r="R15">
        <v>1</v>
      </c>
      <c r="S15">
        <v>1</v>
      </c>
      <c r="T15">
        <v>1</v>
      </c>
      <c r="U15">
        <v>0</v>
      </c>
      <c r="V15">
        <v>964</v>
      </c>
      <c r="W15">
        <v>1</v>
      </c>
      <c r="X15" t="s">
        <v>55</v>
      </c>
      <c r="Y15">
        <v>1</v>
      </c>
      <c r="Z15">
        <v>1</v>
      </c>
      <c r="AA15">
        <v>34</v>
      </c>
      <c r="AB15">
        <v>1</v>
      </c>
      <c r="AC15">
        <v>2</v>
      </c>
      <c r="AD15">
        <v>2</v>
      </c>
      <c r="AE15">
        <v>6735</v>
      </c>
      <c r="AF15">
        <v>12147</v>
      </c>
      <c r="AG15">
        <v>6</v>
      </c>
      <c r="AH15">
        <v>15</v>
      </c>
      <c r="AI15">
        <v>3</v>
      </c>
      <c r="AJ15">
        <v>2</v>
      </c>
      <c r="AK15">
        <v>80</v>
      </c>
      <c r="AL15">
        <v>0</v>
      </c>
      <c r="AM15">
        <v>10</v>
      </c>
      <c r="AN15">
        <v>3</v>
      </c>
      <c r="AO15">
        <v>0</v>
      </c>
      <c r="AP15">
        <v>0</v>
      </c>
      <c r="AQ15">
        <v>0</v>
      </c>
      <c r="AR15">
        <v>0</v>
      </c>
    </row>
    <row r="16" spans="1:44" x14ac:dyDescent="0.35">
      <c r="A16" t="s">
        <v>44</v>
      </c>
      <c r="B16" t="s">
        <v>45</v>
      </c>
      <c r="C16" t="s">
        <v>69</v>
      </c>
      <c r="D16" t="s">
        <v>47</v>
      </c>
      <c r="E16" t="s">
        <v>48</v>
      </c>
      <c r="F16" t="s">
        <v>106</v>
      </c>
      <c r="G16" t="s">
        <v>1515</v>
      </c>
      <c r="H16">
        <v>1761</v>
      </c>
      <c r="I16" t="s">
        <v>62</v>
      </c>
      <c r="J16" t="s">
        <v>52</v>
      </c>
      <c r="K16" t="s">
        <v>64</v>
      </c>
      <c r="L16" t="s">
        <v>56</v>
      </c>
      <c r="M16" t="s">
        <v>54</v>
      </c>
      <c r="N16">
        <v>2</v>
      </c>
      <c r="O16">
        <v>-2</v>
      </c>
      <c r="P16">
        <v>0</v>
      </c>
      <c r="Q16">
        <v>31</v>
      </c>
      <c r="R16">
        <v>1</v>
      </c>
      <c r="S16">
        <v>1</v>
      </c>
      <c r="T16">
        <v>1</v>
      </c>
      <c r="U16">
        <v>0</v>
      </c>
      <c r="V16">
        <v>1079</v>
      </c>
      <c r="W16">
        <v>16</v>
      </c>
      <c r="X16" t="s">
        <v>71</v>
      </c>
      <c r="Y16">
        <v>1</v>
      </c>
      <c r="Z16">
        <v>1</v>
      </c>
      <c r="AA16">
        <v>70</v>
      </c>
      <c r="AB16">
        <v>3</v>
      </c>
      <c r="AC16">
        <v>3</v>
      </c>
      <c r="AD16">
        <v>1</v>
      </c>
      <c r="AE16">
        <v>8161</v>
      </c>
      <c r="AF16">
        <v>19002</v>
      </c>
      <c r="AG16">
        <v>2</v>
      </c>
      <c r="AH16">
        <v>13</v>
      </c>
      <c r="AI16">
        <v>3</v>
      </c>
      <c r="AJ16">
        <v>1</v>
      </c>
      <c r="AK16">
        <v>80</v>
      </c>
      <c r="AL16">
        <v>3</v>
      </c>
      <c r="AM16">
        <v>10</v>
      </c>
      <c r="AN16">
        <v>3</v>
      </c>
      <c r="AO16">
        <v>1</v>
      </c>
      <c r="AP16">
        <v>0</v>
      </c>
      <c r="AQ16">
        <v>0</v>
      </c>
      <c r="AR16">
        <v>0</v>
      </c>
    </row>
    <row r="17" spans="1:44" x14ac:dyDescent="0.35">
      <c r="A17" t="s">
        <v>44</v>
      </c>
      <c r="B17" t="s">
        <v>45</v>
      </c>
      <c r="C17" t="s">
        <v>69</v>
      </c>
      <c r="D17" t="s">
        <v>47</v>
      </c>
      <c r="E17" t="s">
        <v>48</v>
      </c>
      <c r="F17" t="s">
        <v>49</v>
      </c>
      <c r="G17" t="s">
        <v>1514</v>
      </c>
      <c r="H17">
        <v>1562</v>
      </c>
      <c r="I17" t="s">
        <v>62</v>
      </c>
      <c r="J17" t="s">
        <v>52</v>
      </c>
      <c r="K17" t="s">
        <v>64</v>
      </c>
      <c r="L17" t="s">
        <v>56</v>
      </c>
      <c r="M17" t="s">
        <v>54</v>
      </c>
      <c r="N17">
        <v>4</v>
      </c>
      <c r="O17">
        <v>-2</v>
      </c>
      <c r="P17">
        <v>0</v>
      </c>
      <c r="Q17">
        <v>30</v>
      </c>
      <c r="R17">
        <v>1</v>
      </c>
      <c r="S17">
        <v>1</v>
      </c>
      <c r="T17">
        <v>1</v>
      </c>
      <c r="U17">
        <v>0</v>
      </c>
      <c r="V17">
        <v>740</v>
      </c>
      <c r="W17">
        <v>1</v>
      </c>
      <c r="X17" t="s">
        <v>77</v>
      </c>
      <c r="Y17">
        <v>1</v>
      </c>
      <c r="Z17">
        <v>2</v>
      </c>
      <c r="AA17">
        <v>64</v>
      </c>
      <c r="AB17">
        <v>2</v>
      </c>
      <c r="AC17">
        <v>2</v>
      </c>
      <c r="AD17">
        <v>1</v>
      </c>
      <c r="AE17">
        <v>9714</v>
      </c>
      <c r="AF17">
        <v>5323</v>
      </c>
      <c r="AG17">
        <v>1</v>
      </c>
      <c r="AH17">
        <v>11</v>
      </c>
      <c r="AI17">
        <v>3</v>
      </c>
      <c r="AJ17">
        <v>4</v>
      </c>
      <c r="AK17">
        <v>80</v>
      </c>
      <c r="AL17">
        <v>1</v>
      </c>
      <c r="AM17">
        <v>10</v>
      </c>
      <c r="AN17">
        <v>3</v>
      </c>
      <c r="AO17">
        <v>10</v>
      </c>
      <c r="AP17">
        <v>8</v>
      </c>
      <c r="AQ17">
        <v>6</v>
      </c>
      <c r="AR17">
        <v>7</v>
      </c>
    </row>
    <row r="18" spans="1:44" x14ac:dyDescent="0.35">
      <c r="A18" t="s">
        <v>44</v>
      </c>
      <c r="B18" t="s">
        <v>45</v>
      </c>
      <c r="C18" t="s">
        <v>46</v>
      </c>
      <c r="D18" t="s">
        <v>47</v>
      </c>
      <c r="E18" t="s">
        <v>48</v>
      </c>
      <c r="F18" t="s">
        <v>72</v>
      </c>
      <c r="G18" t="s">
        <v>1513</v>
      </c>
      <c r="H18">
        <v>1639</v>
      </c>
      <c r="I18" t="s">
        <v>62</v>
      </c>
      <c r="J18" t="s">
        <v>52</v>
      </c>
      <c r="K18" t="s">
        <v>64</v>
      </c>
      <c r="L18" t="s">
        <v>56</v>
      </c>
      <c r="M18" t="s">
        <v>54</v>
      </c>
      <c r="N18">
        <v>3</v>
      </c>
      <c r="O18">
        <v>-2</v>
      </c>
      <c r="P18">
        <v>0</v>
      </c>
      <c r="Q18">
        <v>35</v>
      </c>
      <c r="R18">
        <v>1</v>
      </c>
      <c r="S18">
        <v>1</v>
      </c>
      <c r="T18">
        <v>1</v>
      </c>
      <c r="U18">
        <v>0</v>
      </c>
      <c r="V18">
        <v>737</v>
      </c>
      <c r="W18">
        <v>10</v>
      </c>
      <c r="X18" t="s">
        <v>77</v>
      </c>
      <c r="Y18">
        <v>1</v>
      </c>
      <c r="Z18">
        <v>4</v>
      </c>
      <c r="AA18">
        <v>55</v>
      </c>
      <c r="AB18">
        <v>2</v>
      </c>
      <c r="AC18">
        <v>3</v>
      </c>
      <c r="AD18">
        <v>1</v>
      </c>
      <c r="AE18">
        <v>10306</v>
      </c>
      <c r="AF18">
        <v>21530</v>
      </c>
      <c r="AG18">
        <v>9</v>
      </c>
      <c r="AH18">
        <v>17</v>
      </c>
      <c r="AI18">
        <v>3</v>
      </c>
      <c r="AJ18">
        <v>3</v>
      </c>
      <c r="AK18">
        <v>80</v>
      </c>
      <c r="AL18">
        <v>0</v>
      </c>
      <c r="AM18">
        <v>15</v>
      </c>
      <c r="AN18">
        <v>3</v>
      </c>
      <c r="AO18">
        <v>13</v>
      </c>
      <c r="AP18">
        <v>12</v>
      </c>
      <c r="AQ18">
        <v>6</v>
      </c>
      <c r="AR18">
        <v>0</v>
      </c>
    </row>
    <row r="19" spans="1:44" x14ac:dyDescent="0.35">
      <c r="A19" t="s">
        <v>44</v>
      </c>
      <c r="B19" t="s">
        <v>45</v>
      </c>
      <c r="C19" t="s">
        <v>58</v>
      </c>
      <c r="D19" t="s">
        <v>47</v>
      </c>
      <c r="E19" t="s">
        <v>48</v>
      </c>
      <c r="F19" t="s">
        <v>106</v>
      </c>
      <c r="G19" t="s">
        <v>1511</v>
      </c>
      <c r="H19">
        <v>1457</v>
      </c>
      <c r="I19" t="s">
        <v>62</v>
      </c>
      <c r="J19" t="s">
        <v>52</v>
      </c>
      <c r="K19" t="s">
        <v>79</v>
      </c>
      <c r="L19" t="s">
        <v>56</v>
      </c>
      <c r="M19" t="s">
        <v>54</v>
      </c>
      <c r="N19">
        <v>1</v>
      </c>
      <c r="O19">
        <v>-2</v>
      </c>
      <c r="P19">
        <v>0</v>
      </c>
      <c r="Q19">
        <v>46</v>
      </c>
      <c r="R19">
        <v>1</v>
      </c>
      <c r="S19">
        <v>1</v>
      </c>
      <c r="T19">
        <v>1</v>
      </c>
      <c r="U19">
        <v>0</v>
      </c>
      <c r="V19">
        <v>377</v>
      </c>
      <c r="W19">
        <v>9</v>
      </c>
      <c r="X19" t="s">
        <v>77</v>
      </c>
      <c r="Y19">
        <v>1</v>
      </c>
      <c r="Z19">
        <v>1</v>
      </c>
      <c r="AA19">
        <v>52</v>
      </c>
      <c r="AB19">
        <v>3</v>
      </c>
      <c r="AC19">
        <v>3</v>
      </c>
      <c r="AD19">
        <v>1</v>
      </c>
      <c r="AE19">
        <v>10096</v>
      </c>
      <c r="AF19">
        <v>15986</v>
      </c>
      <c r="AG19">
        <v>4</v>
      </c>
      <c r="AH19">
        <v>11</v>
      </c>
      <c r="AI19">
        <v>3</v>
      </c>
      <c r="AJ19">
        <v>1</v>
      </c>
      <c r="AK19">
        <v>80</v>
      </c>
      <c r="AL19">
        <v>1</v>
      </c>
      <c r="AM19">
        <v>28</v>
      </c>
      <c r="AN19">
        <v>4</v>
      </c>
      <c r="AO19">
        <v>7</v>
      </c>
      <c r="AP19">
        <v>7</v>
      </c>
      <c r="AQ19">
        <v>4</v>
      </c>
      <c r="AR19">
        <v>3</v>
      </c>
    </row>
    <row r="20" spans="1:44" x14ac:dyDescent="0.35">
      <c r="A20" t="s">
        <v>44</v>
      </c>
      <c r="B20" t="s">
        <v>57</v>
      </c>
      <c r="C20" t="s">
        <v>58</v>
      </c>
      <c r="D20" t="s">
        <v>47</v>
      </c>
      <c r="E20" t="s">
        <v>48</v>
      </c>
      <c r="F20" t="s">
        <v>49</v>
      </c>
      <c r="G20" t="s">
        <v>1497</v>
      </c>
      <c r="H20">
        <v>1716</v>
      </c>
      <c r="I20" t="s">
        <v>62</v>
      </c>
      <c r="J20" t="s">
        <v>52</v>
      </c>
      <c r="K20" t="s">
        <v>64</v>
      </c>
      <c r="L20" t="s">
        <v>56</v>
      </c>
      <c r="M20" t="s">
        <v>54</v>
      </c>
      <c r="N20">
        <v>3</v>
      </c>
      <c r="O20">
        <v>-2</v>
      </c>
      <c r="P20">
        <v>0</v>
      </c>
      <c r="Q20">
        <v>47</v>
      </c>
      <c r="R20">
        <v>1</v>
      </c>
      <c r="S20">
        <v>1</v>
      </c>
      <c r="T20">
        <v>1</v>
      </c>
      <c r="U20">
        <v>0</v>
      </c>
      <c r="V20">
        <v>1093</v>
      </c>
      <c r="W20">
        <v>9</v>
      </c>
      <c r="X20" t="s">
        <v>77</v>
      </c>
      <c r="Y20">
        <v>1</v>
      </c>
      <c r="Z20">
        <v>3</v>
      </c>
      <c r="AA20">
        <v>82</v>
      </c>
      <c r="AB20">
        <v>1</v>
      </c>
      <c r="AC20">
        <v>4</v>
      </c>
      <c r="AD20">
        <v>3</v>
      </c>
      <c r="AE20">
        <v>12936</v>
      </c>
      <c r="AF20">
        <v>24164</v>
      </c>
      <c r="AG20">
        <v>7</v>
      </c>
      <c r="AH20">
        <v>11</v>
      </c>
      <c r="AI20">
        <v>3</v>
      </c>
      <c r="AJ20">
        <v>3</v>
      </c>
      <c r="AK20">
        <v>80</v>
      </c>
      <c r="AL20">
        <v>0</v>
      </c>
      <c r="AM20">
        <v>25</v>
      </c>
      <c r="AN20">
        <v>1</v>
      </c>
      <c r="AO20">
        <v>23</v>
      </c>
      <c r="AP20">
        <v>5</v>
      </c>
      <c r="AQ20">
        <v>14</v>
      </c>
      <c r="AR20">
        <v>10</v>
      </c>
    </row>
    <row r="21" spans="1:44" x14ac:dyDescent="0.35">
      <c r="A21" t="s">
        <v>44</v>
      </c>
      <c r="B21" t="s">
        <v>57</v>
      </c>
      <c r="C21" t="s">
        <v>58</v>
      </c>
      <c r="D21" t="s">
        <v>47</v>
      </c>
      <c r="E21" t="s">
        <v>48</v>
      </c>
      <c r="F21" t="s">
        <v>49</v>
      </c>
      <c r="G21" t="s">
        <v>1496</v>
      </c>
      <c r="H21">
        <v>2044</v>
      </c>
      <c r="I21" t="s">
        <v>62</v>
      </c>
      <c r="J21" t="s">
        <v>52</v>
      </c>
      <c r="K21" t="s">
        <v>79</v>
      </c>
      <c r="L21" t="s">
        <v>56</v>
      </c>
      <c r="M21" t="s">
        <v>54</v>
      </c>
      <c r="N21">
        <v>3</v>
      </c>
      <c r="O21">
        <v>-2</v>
      </c>
      <c r="P21">
        <v>0</v>
      </c>
      <c r="Q21">
        <v>50</v>
      </c>
      <c r="R21">
        <v>1</v>
      </c>
      <c r="S21">
        <v>1</v>
      </c>
      <c r="T21">
        <v>1</v>
      </c>
      <c r="U21">
        <v>0</v>
      </c>
      <c r="V21">
        <v>878</v>
      </c>
      <c r="W21">
        <v>1</v>
      </c>
      <c r="X21" t="s">
        <v>71</v>
      </c>
      <c r="Y21">
        <v>1</v>
      </c>
      <c r="Z21">
        <v>2</v>
      </c>
      <c r="AA21">
        <v>94</v>
      </c>
      <c r="AB21">
        <v>3</v>
      </c>
      <c r="AC21">
        <v>2</v>
      </c>
      <c r="AD21">
        <v>3</v>
      </c>
      <c r="AE21">
        <v>6728</v>
      </c>
      <c r="AF21">
        <v>14255</v>
      </c>
      <c r="AG21">
        <v>7</v>
      </c>
      <c r="AH21">
        <v>12</v>
      </c>
      <c r="AI21">
        <v>3</v>
      </c>
      <c r="AJ21">
        <v>4</v>
      </c>
      <c r="AK21">
        <v>80</v>
      </c>
      <c r="AL21">
        <v>2</v>
      </c>
      <c r="AM21">
        <v>12</v>
      </c>
      <c r="AN21">
        <v>3</v>
      </c>
      <c r="AO21">
        <v>6</v>
      </c>
      <c r="AP21">
        <v>3</v>
      </c>
      <c r="AQ21">
        <v>0</v>
      </c>
      <c r="AR21">
        <v>1</v>
      </c>
    </row>
    <row r="22" spans="1:44" x14ac:dyDescent="0.35">
      <c r="A22" t="s">
        <v>44</v>
      </c>
      <c r="B22" t="s">
        <v>57</v>
      </c>
      <c r="C22" t="s">
        <v>69</v>
      </c>
      <c r="D22" t="s">
        <v>47</v>
      </c>
      <c r="E22" t="s">
        <v>48</v>
      </c>
      <c r="F22" t="s">
        <v>113</v>
      </c>
      <c r="G22" t="s">
        <v>1488</v>
      </c>
      <c r="H22">
        <v>1487</v>
      </c>
      <c r="I22" t="s">
        <v>51</v>
      </c>
      <c r="J22" t="s">
        <v>52</v>
      </c>
      <c r="K22" t="s">
        <v>53</v>
      </c>
      <c r="L22" t="s">
        <v>56</v>
      </c>
      <c r="M22" t="s">
        <v>54</v>
      </c>
      <c r="N22">
        <v>4</v>
      </c>
      <c r="O22">
        <v>-2</v>
      </c>
      <c r="P22">
        <v>0</v>
      </c>
      <c r="Q22">
        <v>29</v>
      </c>
      <c r="R22">
        <v>1</v>
      </c>
      <c r="S22">
        <v>1</v>
      </c>
      <c r="T22">
        <v>1</v>
      </c>
      <c r="U22">
        <v>0</v>
      </c>
      <c r="V22">
        <v>115</v>
      </c>
      <c r="W22">
        <v>13</v>
      </c>
      <c r="X22" t="s">
        <v>77</v>
      </c>
      <c r="Y22">
        <v>1</v>
      </c>
      <c r="Z22">
        <v>4</v>
      </c>
      <c r="AA22">
        <v>51</v>
      </c>
      <c r="AB22">
        <v>3</v>
      </c>
      <c r="AC22">
        <v>2</v>
      </c>
      <c r="AD22">
        <v>4</v>
      </c>
      <c r="AE22">
        <v>5765</v>
      </c>
      <c r="AF22">
        <v>17485</v>
      </c>
      <c r="AG22">
        <v>5</v>
      </c>
      <c r="AH22">
        <v>11</v>
      </c>
      <c r="AI22">
        <v>3</v>
      </c>
      <c r="AJ22">
        <v>1</v>
      </c>
      <c r="AK22">
        <v>80</v>
      </c>
      <c r="AL22">
        <v>0</v>
      </c>
      <c r="AM22">
        <v>7</v>
      </c>
      <c r="AN22">
        <v>1</v>
      </c>
      <c r="AO22">
        <v>5</v>
      </c>
      <c r="AP22">
        <v>3</v>
      </c>
      <c r="AQ22">
        <v>0</v>
      </c>
      <c r="AR22">
        <v>0</v>
      </c>
    </row>
    <row r="23" spans="1:44" x14ac:dyDescent="0.35">
      <c r="A23" t="s">
        <v>56</v>
      </c>
      <c r="B23" t="s">
        <v>45</v>
      </c>
      <c r="C23" t="s">
        <v>69</v>
      </c>
      <c r="D23" t="s">
        <v>59</v>
      </c>
      <c r="E23" t="s">
        <v>48</v>
      </c>
      <c r="F23" t="s">
        <v>66</v>
      </c>
      <c r="G23" t="s">
        <v>1477</v>
      </c>
      <c r="H23">
        <v>2018</v>
      </c>
      <c r="I23" t="s">
        <v>51</v>
      </c>
      <c r="J23" t="s">
        <v>52</v>
      </c>
      <c r="K23" t="s">
        <v>79</v>
      </c>
      <c r="L23" t="s">
        <v>44</v>
      </c>
      <c r="M23" t="s">
        <v>54</v>
      </c>
      <c r="N23">
        <v>3</v>
      </c>
      <c r="O23">
        <v>-2</v>
      </c>
      <c r="P23">
        <v>0</v>
      </c>
      <c r="Q23">
        <v>25</v>
      </c>
      <c r="R23">
        <v>0</v>
      </c>
      <c r="T23">
        <v>0</v>
      </c>
      <c r="U23">
        <v>1</v>
      </c>
      <c r="V23">
        <v>1382</v>
      </c>
      <c r="W23">
        <v>8</v>
      </c>
      <c r="X23" t="s">
        <v>55</v>
      </c>
      <c r="Y23">
        <v>1</v>
      </c>
      <c r="Z23">
        <v>1</v>
      </c>
      <c r="AA23">
        <v>85</v>
      </c>
      <c r="AB23">
        <v>3</v>
      </c>
      <c r="AC23">
        <v>2</v>
      </c>
      <c r="AD23">
        <v>3</v>
      </c>
      <c r="AE23">
        <v>4907</v>
      </c>
      <c r="AF23">
        <v>13684</v>
      </c>
      <c r="AG23">
        <v>0</v>
      </c>
      <c r="AH23">
        <v>22</v>
      </c>
      <c r="AI23">
        <v>4</v>
      </c>
      <c r="AJ23">
        <v>2</v>
      </c>
      <c r="AK23">
        <v>80</v>
      </c>
      <c r="AL23">
        <v>1</v>
      </c>
      <c r="AM23">
        <v>6</v>
      </c>
      <c r="AN23">
        <v>2</v>
      </c>
      <c r="AO23">
        <v>5</v>
      </c>
      <c r="AP23">
        <v>3</v>
      </c>
      <c r="AQ23">
        <v>0</v>
      </c>
      <c r="AR23">
        <v>4</v>
      </c>
    </row>
    <row r="24" spans="1:44" x14ac:dyDescent="0.35">
      <c r="A24" t="s">
        <v>56</v>
      </c>
      <c r="B24" t="s">
        <v>91</v>
      </c>
      <c r="C24" t="s">
        <v>69</v>
      </c>
      <c r="D24" t="s">
        <v>59</v>
      </c>
      <c r="E24" t="s">
        <v>48</v>
      </c>
      <c r="F24" t="s">
        <v>49</v>
      </c>
      <c r="G24" t="s">
        <v>1473</v>
      </c>
      <c r="H24">
        <v>1681</v>
      </c>
      <c r="I24" t="s">
        <v>51</v>
      </c>
      <c r="J24" t="s">
        <v>52</v>
      </c>
      <c r="K24" t="s">
        <v>79</v>
      </c>
      <c r="L24" t="s">
        <v>44</v>
      </c>
      <c r="M24" t="s">
        <v>54</v>
      </c>
      <c r="N24">
        <v>2</v>
      </c>
      <c r="O24">
        <v>-2</v>
      </c>
      <c r="P24">
        <v>0</v>
      </c>
      <c r="Q24">
        <v>33</v>
      </c>
      <c r="R24">
        <v>0</v>
      </c>
      <c r="T24">
        <v>0</v>
      </c>
      <c r="U24">
        <v>1</v>
      </c>
      <c r="V24">
        <v>530</v>
      </c>
      <c r="W24">
        <v>16</v>
      </c>
      <c r="X24" t="s">
        <v>77</v>
      </c>
      <c r="Y24">
        <v>1</v>
      </c>
      <c r="Z24">
        <v>3</v>
      </c>
      <c r="AA24">
        <v>36</v>
      </c>
      <c r="AB24">
        <v>3</v>
      </c>
      <c r="AC24">
        <v>2</v>
      </c>
      <c r="AD24">
        <v>4</v>
      </c>
      <c r="AE24">
        <v>5368</v>
      </c>
      <c r="AF24">
        <v>16130</v>
      </c>
      <c r="AG24">
        <v>1</v>
      </c>
      <c r="AH24">
        <v>25</v>
      </c>
      <c r="AI24">
        <v>4</v>
      </c>
      <c r="AJ24">
        <v>3</v>
      </c>
      <c r="AK24">
        <v>80</v>
      </c>
      <c r="AL24">
        <v>1</v>
      </c>
      <c r="AM24">
        <v>7</v>
      </c>
      <c r="AN24">
        <v>3</v>
      </c>
      <c r="AO24">
        <v>6</v>
      </c>
      <c r="AP24">
        <v>5</v>
      </c>
      <c r="AQ24">
        <v>1</v>
      </c>
      <c r="AR24">
        <v>2</v>
      </c>
    </row>
    <row r="25" spans="1:44" x14ac:dyDescent="0.35">
      <c r="A25" t="s">
        <v>56</v>
      </c>
      <c r="B25" t="s">
        <v>45</v>
      </c>
      <c r="C25" t="s">
        <v>69</v>
      </c>
      <c r="D25" t="s">
        <v>59</v>
      </c>
      <c r="E25" t="s">
        <v>48</v>
      </c>
      <c r="F25" t="s">
        <v>106</v>
      </c>
      <c r="G25" t="s">
        <v>1471</v>
      </c>
      <c r="H25">
        <v>1950</v>
      </c>
      <c r="I25" t="s">
        <v>62</v>
      </c>
      <c r="J25" t="s">
        <v>52</v>
      </c>
      <c r="K25" t="s">
        <v>53</v>
      </c>
      <c r="L25" t="s">
        <v>56</v>
      </c>
      <c r="M25" t="s">
        <v>54</v>
      </c>
      <c r="N25">
        <v>3</v>
      </c>
      <c r="O25">
        <v>-2</v>
      </c>
      <c r="P25">
        <v>0</v>
      </c>
      <c r="Q25">
        <v>34</v>
      </c>
      <c r="R25">
        <v>0</v>
      </c>
      <c r="T25">
        <v>0</v>
      </c>
      <c r="U25">
        <v>1</v>
      </c>
      <c r="V25">
        <v>937</v>
      </c>
      <c r="W25">
        <v>1</v>
      </c>
      <c r="X25" t="s">
        <v>77</v>
      </c>
      <c r="Y25">
        <v>1</v>
      </c>
      <c r="Z25">
        <v>1</v>
      </c>
      <c r="AA25">
        <v>32</v>
      </c>
      <c r="AB25">
        <v>3</v>
      </c>
      <c r="AC25">
        <v>3</v>
      </c>
      <c r="AD25">
        <v>1</v>
      </c>
      <c r="AE25">
        <v>9888</v>
      </c>
      <c r="AF25">
        <v>6770</v>
      </c>
      <c r="AG25">
        <v>1</v>
      </c>
      <c r="AH25">
        <v>21</v>
      </c>
      <c r="AI25">
        <v>4</v>
      </c>
      <c r="AJ25">
        <v>1</v>
      </c>
      <c r="AK25">
        <v>80</v>
      </c>
      <c r="AL25">
        <v>0</v>
      </c>
      <c r="AM25">
        <v>14</v>
      </c>
      <c r="AN25">
        <v>2</v>
      </c>
      <c r="AO25">
        <v>14</v>
      </c>
      <c r="AP25">
        <v>8</v>
      </c>
      <c r="AQ25">
        <v>2</v>
      </c>
      <c r="AR25">
        <v>1</v>
      </c>
    </row>
    <row r="26" spans="1:44" x14ac:dyDescent="0.35">
      <c r="A26" t="s">
        <v>56</v>
      </c>
      <c r="B26" t="s">
        <v>45</v>
      </c>
      <c r="C26" t="s">
        <v>69</v>
      </c>
      <c r="D26" t="s">
        <v>59</v>
      </c>
      <c r="E26" t="s">
        <v>48</v>
      </c>
      <c r="F26" t="s">
        <v>113</v>
      </c>
      <c r="G26" t="s">
        <v>1470</v>
      </c>
      <c r="H26">
        <v>1823</v>
      </c>
      <c r="I26" t="s">
        <v>62</v>
      </c>
      <c r="J26" t="s">
        <v>52</v>
      </c>
      <c r="K26" t="s">
        <v>64</v>
      </c>
      <c r="L26" t="s">
        <v>56</v>
      </c>
      <c r="M26" t="s">
        <v>54</v>
      </c>
      <c r="N26">
        <v>5</v>
      </c>
      <c r="O26">
        <v>-2</v>
      </c>
      <c r="P26">
        <v>0</v>
      </c>
      <c r="Q26">
        <v>34</v>
      </c>
      <c r="R26">
        <v>0</v>
      </c>
      <c r="T26">
        <v>0</v>
      </c>
      <c r="U26">
        <v>1</v>
      </c>
      <c r="V26">
        <v>810</v>
      </c>
      <c r="W26">
        <v>8</v>
      </c>
      <c r="X26" t="s">
        <v>55</v>
      </c>
      <c r="Y26">
        <v>1</v>
      </c>
      <c r="Z26">
        <v>4</v>
      </c>
      <c r="AA26">
        <v>92</v>
      </c>
      <c r="AB26">
        <v>4</v>
      </c>
      <c r="AC26">
        <v>2</v>
      </c>
      <c r="AD26">
        <v>4</v>
      </c>
      <c r="AE26">
        <v>6799</v>
      </c>
      <c r="AF26">
        <v>22128</v>
      </c>
      <c r="AG26">
        <v>1</v>
      </c>
      <c r="AH26">
        <v>21</v>
      </c>
      <c r="AI26">
        <v>4</v>
      </c>
      <c r="AJ26">
        <v>3</v>
      </c>
      <c r="AK26">
        <v>80</v>
      </c>
      <c r="AL26">
        <v>2</v>
      </c>
      <c r="AM26">
        <v>10</v>
      </c>
      <c r="AN26">
        <v>3</v>
      </c>
      <c r="AO26">
        <v>10</v>
      </c>
      <c r="AP26">
        <v>8</v>
      </c>
      <c r="AQ26">
        <v>4</v>
      </c>
      <c r="AR26">
        <v>8</v>
      </c>
    </row>
    <row r="27" spans="1:44" x14ac:dyDescent="0.35">
      <c r="A27" t="s">
        <v>56</v>
      </c>
      <c r="B27" t="s">
        <v>57</v>
      </c>
      <c r="C27" t="s">
        <v>46</v>
      </c>
      <c r="D27" t="s">
        <v>59</v>
      </c>
      <c r="E27" t="s">
        <v>48</v>
      </c>
      <c r="F27" t="s">
        <v>49</v>
      </c>
      <c r="G27" t="s">
        <v>1451</v>
      </c>
      <c r="H27">
        <v>1849</v>
      </c>
      <c r="I27" t="s">
        <v>62</v>
      </c>
      <c r="J27" t="s">
        <v>52</v>
      </c>
      <c r="K27" t="s">
        <v>64</v>
      </c>
      <c r="L27" t="s">
        <v>56</v>
      </c>
      <c r="M27" t="s">
        <v>54</v>
      </c>
      <c r="N27">
        <v>5</v>
      </c>
      <c r="O27">
        <v>-2</v>
      </c>
      <c r="P27">
        <v>0</v>
      </c>
      <c r="Q27">
        <v>43</v>
      </c>
      <c r="R27">
        <v>0</v>
      </c>
      <c r="T27">
        <v>0</v>
      </c>
      <c r="U27">
        <v>1</v>
      </c>
      <c r="V27">
        <v>1422</v>
      </c>
      <c r="W27">
        <v>2</v>
      </c>
      <c r="X27" t="s">
        <v>71</v>
      </c>
      <c r="Y27">
        <v>1</v>
      </c>
      <c r="Z27">
        <v>1</v>
      </c>
      <c r="AA27">
        <v>92</v>
      </c>
      <c r="AB27">
        <v>3</v>
      </c>
      <c r="AC27">
        <v>2</v>
      </c>
      <c r="AD27">
        <v>4</v>
      </c>
      <c r="AE27">
        <v>5675</v>
      </c>
      <c r="AF27">
        <v>19246</v>
      </c>
      <c r="AG27">
        <v>1</v>
      </c>
      <c r="AH27">
        <v>20</v>
      </c>
      <c r="AI27">
        <v>4</v>
      </c>
      <c r="AJ27">
        <v>3</v>
      </c>
      <c r="AK27">
        <v>80</v>
      </c>
      <c r="AL27">
        <v>1</v>
      </c>
      <c r="AM27">
        <v>7</v>
      </c>
      <c r="AN27">
        <v>3</v>
      </c>
      <c r="AO27">
        <v>7</v>
      </c>
      <c r="AP27">
        <v>7</v>
      </c>
      <c r="AQ27">
        <v>7</v>
      </c>
      <c r="AR27">
        <v>7</v>
      </c>
    </row>
    <row r="28" spans="1:44" x14ac:dyDescent="0.35">
      <c r="A28" t="s">
        <v>56</v>
      </c>
      <c r="B28" t="s">
        <v>91</v>
      </c>
      <c r="C28" t="s">
        <v>46</v>
      </c>
      <c r="D28" t="s">
        <v>59</v>
      </c>
      <c r="E28" t="s">
        <v>48</v>
      </c>
      <c r="F28" t="s">
        <v>106</v>
      </c>
      <c r="G28" t="s">
        <v>1446</v>
      </c>
      <c r="H28">
        <v>2036</v>
      </c>
      <c r="I28" t="s">
        <v>62</v>
      </c>
      <c r="J28" t="s">
        <v>52</v>
      </c>
      <c r="K28" t="s">
        <v>79</v>
      </c>
      <c r="L28" t="s">
        <v>56</v>
      </c>
      <c r="M28" t="s">
        <v>54</v>
      </c>
      <c r="N28">
        <v>4</v>
      </c>
      <c r="O28">
        <v>-2</v>
      </c>
      <c r="P28">
        <v>0</v>
      </c>
      <c r="Q28">
        <v>36</v>
      </c>
      <c r="R28">
        <v>0</v>
      </c>
      <c r="T28">
        <v>0</v>
      </c>
      <c r="U28">
        <v>1</v>
      </c>
      <c r="V28">
        <v>301</v>
      </c>
      <c r="W28">
        <v>15</v>
      </c>
      <c r="X28" t="s">
        <v>71</v>
      </c>
      <c r="Y28">
        <v>1</v>
      </c>
      <c r="Z28">
        <v>4</v>
      </c>
      <c r="AA28">
        <v>88</v>
      </c>
      <c r="AB28">
        <v>1</v>
      </c>
      <c r="AC28">
        <v>2</v>
      </c>
      <c r="AD28">
        <v>1</v>
      </c>
      <c r="AE28">
        <v>5406</v>
      </c>
      <c r="AF28">
        <v>10436</v>
      </c>
      <c r="AG28">
        <v>1</v>
      </c>
      <c r="AH28">
        <v>24</v>
      </c>
      <c r="AI28">
        <v>4</v>
      </c>
      <c r="AJ28">
        <v>1</v>
      </c>
      <c r="AK28">
        <v>80</v>
      </c>
      <c r="AL28">
        <v>1</v>
      </c>
      <c r="AM28">
        <v>15</v>
      </c>
      <c r="AN28">
        <v>2</v>
      </c>
      <c r="AO28">
        <v>15</v>
      </c>
      <c r="AP28">
        <v>12</v>
      </c>
      <c r="AQ28">
        <v>11</v>
      </c>
      <c r="AR28">
        <v>11</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69</v>
      </c>
      <c r="D30" t="s">
        <v>59</v>
      </c>
      <c r="E30" t="s">
        <v>48</v>
      </c>
      <c r="F30" t="s">
        <v>106</v>
      </c>
      <c r="G30" t="s">
        <v>1439</v>
      </c>
      <c r="H30">
        <v>2035</v>
      </c>
      <c r="I30" t="s">
        <v>51</v>
      </c>
      <c r="J30" t="s">
        <v>52</v>
      </c>
      <c r="K30" t="s">
        <v>64</v>
      </c>
      <c r="L30" t="s">
        <v>56</v>
      </c>
      <c r="M30" t="s">
        <v>54</v>
      </c>
      <c r="N30">
        <v>2</v>
      </c>
      <c r="O30">
        <v>-2</v>
      </c>
      <c r="P30">
        <v>0</v>
      </c>
      <c r="Q30">
        <v>34</v>
      </c>
      <c r="R30">
        <v>0</v>
      </c>
      <c r="T30">
        <v>0</v>
      </c>
      <c r="U30">
        <v>1</v>
      </c>
      <c r="V30">
        <v>704</v>
      </c>
      <c r="W30">
        <v>28</v>
      </c>
      <c r="X30" t="s">
        <v>77</v>
      </c>
      <c r="Y30">
        <v>1</v>
      </c>
      <c r="Z30">
        <v>4</v>
      </c>
      <c r="AA30">
        <v>95</v>
      </c>
      <c r="AB30">
        <v>2</v>
      </c>
      <c r="AC30">
        <v>2</v>
      </c>
      <c r="AD30">
        <v>1</v>
      </c>
      <c r="AE30">
        <v>6712</v>
      </c>
      <c r="AF30">
        <v>8978</v>
      </c>
      <c r="AG30">
        <v>1</v>
      </c>
      <c r="AH30">
        <v>21</v>
      </c>
      <c r="AI30">
        <v>4</v>
      </c>
      <c r="AJ30">
        <v>4</v>
      </c>
      <c r="AK30">
        <v>80</v>
      </c>
      <c r="AL30">
        <v>2</v>
      </c>
      <c r="AM30">
        <v>8</v>
      </c>
      <c r="AN30">
        <v>3</v>
      </c>
      <c r="AO30">
        <v>8</v>
      </c>
      <c r="AP30">
        <v>7</v>
      </c>
      <c r="AQ30">
        <v>1</v>
      </c>
      <c r="AR30">
        <v>7</v>
      </c>
    </row>
    <row r="31" spans="1:44" x14ac:dyDescent="0.35">
      <c r="A31" t="s">
        <v>56</v>
      </c>
      <c r="B31" t="s">
        <v>45</v>
      </c>
      <c r="C31" t="s">
        <v>46</v>
      </c>
      <c r="D31" t="s">
        <v>59</v>
      </c>
      <c r="E31" t="s">
        <v>48</v>
      </c>
      <c r="F31" t="s">
        <v>106</v>
      </c>
      <c r="G31" t="s">
        <v>1437</v>
      </c>
      <c r="H31">
        <v>1909</v>
      </c>
      <c r="I31" t="s">
        <v>51</v>
      </c>
      <c r="J31" t="s">
        <v>52</v>
      </c>
      <c r="K31" t="s">
        <v>64</v>
      </c>
      <c r="L31" t="s">
        <v>56</v>
      </c>
      <c r="M31" t="s">
        <v>54</v>
      </c>
      <c r="N31">
        <v>3</v>
      </c>
      <c r="O31">
        <v>-2</v>
      </c>
      <c r="P31">
        <v>0</v>
      </c>
      <c r="Q31">
        <v>41</v>
      </c>
      <c r="R31">
        <v>0</v>
      </c>
      <c r="T31">
        <v>0</v>
      </c>
      <c r="U31">
        <v>1</v>
      </c>
      <c r="V31">
        <v>337</v>
      </c>
      <c r="W31">
        <v>8</v>
      </c>
      <c r="X31" t="s">
        <v>77</v>
      </c>
      <c r="Y31">
        <v>1</v>
      </c>
      <c r="Z31">
        <v>3</v>
      </c>
      <c r="AA31">
        <v>54</v>
      </c>
      <c r="AB31">
        <v>3</v>
      </c>
      <c r="AC31">
        <v>2</v>
      </c>
      <c r="AD31">
        <v>1</v>
      </c>
      <c r="AE31">
        <v>4393</v>
      </c>
      <c r="AF31">
        <v>26841</v>
      </c>
      <c r="AG31">
        <v>5</v>
      </c>
      <c r="AH31">
        <v>21</v>
      </c>
      <c r="AI31">
        <v>4</v>
      </c>
      <c r="AJ31">
        <v>3</v>
      </c>
      <c r="AK31">
        <v>80</v>
      </c>
      <c r="AL31">
        <v>1</v>
      </c>
      <c r="AM31">
        <v>14</v>
      </c>
      <c r="AN31">
        <v>3</v>
      </c>
      <c r="AO31">
        <v>5</v>
      </c>
      <c r="AP31">
        <v>4</v>
      </c>
      <c r="AQ31">
        <v>1</v>
      </c>
      <c r="AR31">
        <v>4</v>
      </c>
    </row>
    <row r="32" spans="1:44" x14ac:dyDescent="0.35">
      <c r="A32" t="s">
        <v>56</v>
      </c>
      <c r="B32" t="s">
        <v>91</v>
      </c>
      <c r="C32" t="s">
        <v>58</v>
      </c>
      <c r="D32" t="s">
        <v>59</v>
      </c>
      <c r="E32" t="s">
        <v>48</v>
      </c>
      <c r="F32" t="s">
        <v>49</v>
      </c>
      <c r="G32" t="s">
        <v>1424</v>
      </c>
      <c r="H32">
        <v>1845</v>
      </c>
      <c r="I32" t="s">
        <v>51</v>
      </c>
      <c r="J32" t="s">
        <v>52</v>
      </c>
      <c r="K32" t="s">
        <v>64</v>
      </c>
      <c r="L32" t="s">
        <v>56</v>
      </c>
      <c r="M32" t="s">
        <v>54</v>
      </c>
      <c r="N32">
        <v>3</v>
      </c>
      <c r="O32">
        <v>-2</v>
      </c>
      <c r="P32">
        <v>0</v>
      </c>
      <c r="Q32">
        <v>45</v>
      </c>
      <c r="R32">
        <v>0</v>
      </c>
      <c r="T32">
        <v>0</v>
      </c>
      <c r="U32">
        <v>1</v>
      </c>
      <c r="V32">
        <v>589</v>
      </c>
      <c r="W32">
        <v>2</v>
      </c>
      <c r="X32" t="s">
        <v>71</v>
      </c>
      <c r="Y32">
        <v>1</v>
      </c>
      <c r="Z32">
        <v>3</v>
      </c>
      <c r="AA32">
        <v>67</v>
      </c>
      <c r="AB32">
        <v>3</v>
      </c>
      <c r="AC32">
        <v>2</v>
      </c>
      <c r="AD32">
        <v>3</v>
      </c>
      <c r="AE32">
        <v>5154</v>
      </c>
      <c r="AF32">
        <v>19665</v>
      </c>
      <c r="AG32">
        <v>4</v>
      </c>
      <c r="AH32">
        <v>22</v>
      </c>
      <c r="AI32">
        <v>4</v>
      </c>
      <c r="AJ32">
        <v>2</v>
      </c>
      <c r="AK32">
        <v>80</v>
      </c>
      <c r="AL32">
        <v>2</v>
      </c>
      <c r="AM32">
        <v>10</v>
      </c>
      <c r="AN32">
        <v>4</v>
      </c>
      <c r="AO32">
        <v>8</v>
      </c>
      <c r="AP32">
        <v>7</v>
      </c>
      <c r="AQ32">
        <v>5</v>
      </c>
      <c r="AR32">
        <v>7</v>
      </c>
    </row>
    <row r="33" spans="1:44" x14ac:dyDescent="0.35">
      <c r="A33" t="s">
        <v>56</v>
      </c>
      <c r="B33" t="s">
        <v>45</v>
      </c>
      <c r="C33" t="s">
        <v>46</v>
      </c>
      <c r="D33" t="s">
        <v>59</v>
      </c>
      <c r="E33" t="s">
        <v>48</v>
      </c>
      <c r="F33" t="s">
        <v>49</v>
      </c>
      <c r="G33" t="s">
        <v>1422</v>
      </c>
      <c r="H33">
        <v>1678</v>
      </c>
      <c r="I33" t="s">
        <v>62</v>
      </c>
      <c r="J33" t="s">
        <v>52</v>
      </c>
      <c r="K33" t="s">
        <v>53</v>
      </c>
      <c r="L33" t="s">
        <v>44</v>
      </c>
      <c r="M33" t="s">
        <v>54</v>
      </c>
      <c r="N33">
        <v>2</v>
      </c>
      <c r="O33">
        <v>-2</v>
      </c>
      <c r="P33">
        <v>0</v>
      </c>
      <c r="Q33">
        <v>41</v>
      </c>
      <c r="R33">
        <v>0</v>
      </c>
      <c r="T33">
        <v>0</v>
      </c>
      <c r="U33">
        <v>1</v>
      </c>
      <c r="V33">
        <v>1206</v>
      </c>
      <c r="W33">
        <v>23</v>
      </c>
      <c r="X33" t="s">
        <v>55</v>
      </c>
      <c r="Y33">
        <v>1</v>
      </c>
      <c r="Z33">
        <v>4</v>
      </c>
      <c r="AA33">
        <v>80</v>
      </c>
      <c r="AB33">
        <v>3</v>
      </c>
      <c r="AC33">
        <v>3</v>
      </c>
      <c r="AD33">
        <v>3</v>
      </c>
      <c r="AE33">
        <v>7082</v>
      </c>
      <c r="AF33">
        <v>11591</v>
      </c>
      <c r="AG33">
        <v>3</v>
      </c>
      <c r="AH33">
        <v>16</v>
      </c>
      <c r="AI33">
        <v>3</v>
      </c>
      <c r="AJ33">
        <v>4</v>
      </c>
      <c r="AK33">
        <v>80</v>
      </c>
      <c r="AL33">
        <v>0</v>
      </c>
      <c r="AM33">
        <v>21</v>
      </c>
      <c r="AN33">
        <v>3</v>
      </c>
      <c r="AO33">
        <v>2</v>
      </c>
      <c r="AP33">
        <v>0</v>
      </c>
      <c r="AQ33">
        <v>0</v>
      </c>
      <c r="AR33">
        <v>2</v>
      </c>
    </row>
    <row r="34" spans="1:44" x14ac:dyDescent="0.35">
      <c r="A34" t="s">
        <v>56</v>
      </c>
      <c r="B34" t="s">
        <v>45</v>
      </c>
      <c r="C34" t="s">
        <v>69</v>
      </c>
      <c r="D34" t="s">
        <v>59</v>
      </c>
      <c r="E34" t="s">
        <v>48</v>
      </c>
      <c r="F34" t="s">
        <v>49</v>
      </c>
      <c r="G34" t="s">
        <v>1420</v>
      </c>
      <c r="H34">
        <v>1882</v>
      </c>
      <c r="I34" t="s">
        <v>62</v>
      </c>
      <c r="J34" t="s">
        <v>52</v>
      </c>
      <c r="K34" t="s">
        <v>64</v>
      </c>
      <c r="L34" t="s">
        <v>44</v>
      </c>
      <c r="M34" t="s">
        <v>54</v>
      </c>
      <c r="N34">
        <v>3</v>
      </c>
      <c r="O34">
        <v>-2</v>
      </c>
      <c r="P34">
        <v>0</v>
      </c>
      <c r="Q34">
        <v>34</v>
      </c>
      <c r="R34">
        <v>0</v>
      </c>
      <c r="T34">
        <v>0</v>
      </c>
      <c r="U34">
        <v>1</v>
      </c>
      <c r="V34">
        <v>1480</v>
      </c>
      <c r="W34">
        <v>4</v>
      </c>
      <c r="X34" t="s">
        <v>77</v>
      </c>
      <c r="Y34">
        <v>1</v>
      </c>
      <c r="Z34">
        <v>3</v>
      </c>
      <c r="AA34">
        <v>64</v>
      </c>
      <c r="AB34">
        <v>3</v>
      </c>
      <c r="AC34">
        <v>3</v>
      </c>
      <c r="AD34">
        <v>4</v>
      </c>
      <c r="AE34">
        <v>9713</v>
      </c>
      <c r="AF34">
        <v>24444</v>
      </c>
      <c r="AG34">
        <v>2</v>
      </c>
      <c r="AH34">
        <v>13</v>
      </c>
      <c r="AI34">
        <v>3</v>
      </c>
      <c r="AJ34">
        <v>4</v>
      </c>
      <c r="AK34">
        <v>80</v>
      </c>
      <c r="AL34">
        <v>3</v>
      </c>
      <c r="AM34">
        <v>9</v>
      </c>
      <c r="AN34">
        <v>3</v>
      </c>
      <c r="AO34">
        <v>5</v>
      </c>
      <c r="AP34">
        <v>3</v>
      </c>
      <c r="AQ34">
        <v>1</v>
      </c>
      <c r="AR34">
        <v>0</v>
      </c>
    </row>
    <row r="35" spans="1:44" x14ac:dyDescent="0.35">
      <c r="A35" t="s">
        <v>56</v>
      </c>
      <c r="B35" t="s">
        <v>45</v>
      </c>
      <c r="C35" t="s">
        <v>46</v>
      </c>
      <c r="D35" t="s">
        <v>59</v>
      </c>
      <c r="E35" t="s">
        <v>48</v>
      </c>
      <c r="F35" t="s">
        <v>72</v>
      </c>
      <c r="G35" t="s">
        <v>1419</v>
      </c>
      <c r="H35">
        <v>1706</v>
      </c>
      <c r="I35" t="s">
        <v>62</v>
      </c>
      <c r="J35" t="s">
        <v>52</v>
      </c>
      <c r="K35" t="s">
        <v>64</v>
      </c>
      <c r="L35" t="s">
        <v>44</v>
      </c>
      <c r="M35" t="s">
        <v>54</v>
      </c>
      <c r="N35">
        <v>3</v>
      </c>
      <c r="O35">
        <v>-2</v>
      </c>
      <c r="P35">
        <v>0</v>
      </c>
      <c r="Q35">
        <v>43</v>
      </c>
      <c r="R35">
        <v>0</v>
      </c>
      <c r="T35">
        <v>0</v>
      </c>
      <c r="U35">
        <v>1</v>
      </c>
      <c r="V35">
        <v>1179</v>
      </c>
      <c r="W35">
        <v>2</v>
      </c>
      <c r="X35" t="s">
        <v>77</v>
      </c>
      <c r="Y35">
        <v>1</v>
      </c>
      <c r="Z35">
        <v>4</v>
      </c>
      <c r="AA35">
        <v>73</v>
      </c>
      <c r="AB35">
        <v>3</v>
      </c>
      <c r="AC35">
        <v>2</v>
      </c>
      <c r="AD35">
        <v>4</v>
      </c>
      <c r="AE35">
        <v>7847</v>
      </c>
      <c r="AF35">
        <v>6069</v>
      </c>
      <c r="AG35">
        <v>1</v>
      </c>
      <c r="AH35">
        <v>17</v>
      </c>
      <c r="AI35">
        <v>3</v>
      </c>
      <c r="AJ35">
        <v>1</v>
      </c>
      <c r="AK35">
        <v>80</v>
      </c>
      <c r="AL35">
        <v>1</v>
      </c>
      <c r="AM35">
        <v>10</v>
      </c>
      <c r="AN35">
        <v>3</v>
      </c>
      <c r="AO35">
        <v>10</v>
      </c>
      <c r="AP35">
        <v>9</v>
      </c>
      <c r="AQ35">
        <v>8</v>
      </c>
      <c r="AR35">
        <v>8</v>
      </c>
    </row>
    <row r="36" spans="1:44" x14ac:dyDescent="0.35">
      <c r="A36" t="s">
        <v>56</v>
      </c>
      <c r="B36" t="s">
        <v>45</v>
      </c>
      <c r="C36" t="s">
        <v>69</v>
      </c>
      <c r="D36" t="s">
        <v>59</v>
      </c>
      <c r="E36" t="s">
        <v>48</v>
      </c>
      <c r="F36" t="s">
        <v>113</v>
      </c>
      <c r="G36" t="s">
        <v>1417</v>
      </c>
      <c r="H36">
        <v>1535</v>
      </c>
      <c r="I36" t="s">
        <v>62</v>
      </c>
      <c r="J36" t="s">
        <v>52</v>
      </c>
      <c r="K36" t="s">
        <v>64</v>
      </c>
      <c r="L36" t="s">
        <v>44</v>
      </c>
      <c r="M36" t="s">
        <v>54</v>
      </c>
      <c r="N36">
        <v>3</v>
      </c>
      <c r="O36">
        <v>-2</v>
      </c>
      <c r="P36">
        <v>0</v>
      </c>
      <c r="Q36">
        <v>34</v>
      </c>
      <c r="R36">
        <v>0</v>
      </c>
      <c r="T36">
        <v>0</v>
      </c>
      <c r="U36">
        <v>1</v>
      </c>
      <c r="V36">
        <v>971</v>
      </c>
      <c r="W36">
        <v>1</v>
      </c>
      <c r="X36" t="s">
        <v>77</v>
      </c>
      <c r="Y36">
        <v>1</v>
      </c>
      <c r="Z36">
        <v>4</v>
      </c>
      <c r="AA36">
        <v>64</v>
      </c>
      <c r="AB36">
        <v>2</v>
      </c>
      <c r="AC36">
        <v>3</v>
      </c>
      <c r="AD36">
        <v>4</v>
      </c>
      <c r="AE36">
        <v>7083</v>
      </c>
      <c r="AF36">
        <v>12288</v>
      </c>
      <c r="AG36">
        <v>1</v>
      </c>
      <c r="AH36">
        <v>14</v>
      </c>
      <c r="AI36">
        <v>3</v>
      </c>
      <c r="AJ36">
        <v>4</v>
      </c>
      <c r="AK36">
        <v>80</v>
      </c>
      <c r="AL36">
        <v>0</v>
      </c>
      <c r="AM36">
        <v>10</v>
      </c>
      <c r="AN36">
        <v>3</v>
      </c>
      <c r="AO36">
        <v>10</v>
      </c>
      <c r="AP36">
        <v>9</v>
      </c>
      <c r="AQ36">
        <v>8</v>
      </c>
      <c r="AR36">
        <v>6</v>
      </c>
    </row>
    <row r="37" spans="1:44" x14ac:dyDescent="0.35">
      <c r="A37" t="s">
        <v>56</v>
      </c>
      <c r="B37" t="s">
        <v>45</v>
      </c>
      <c r="C37" t="s">
        <v>46</v>
      </c>
      <c r="D37" t="s">
        <v>59</v>
      </c>
      <c r="E37" t="s">
        <v>48</v>
      </c>
      <c r="F37" t="s">
        <v>106</v>
      </c>
      <c r="G37" t="s">
        <v>1416</v>
      </c>
      <c r="H37">
        <v>1943</v>
      </c>
      <c r="I37" t="s">
        <v>62</v>
      </c>
      <c r="J37" t="s">
        <v>52</v>
      </c>
      <c r="K37" t="s">
        <v>79</v>
      </c>
      <c r="L37" t="s">
        <v>44</v>
      </c>
      <c r="M37" t="s">
        <v>54</v>
      </c>
      <c r="N37">
        <v>4</v>
      </c>
      <c r="O37">
        <v>-2</v>
      </c>
      <c r="P37">
        <v>0</v>
      </c>
      <c r="Q37">
        <v>42</v>
      </c>
      <c r="R37">
        <v>0</v>
      </c>
      <c r="T37">
        <v>0</v>
      </c>
      <c r="U37">
        <v>1</v>
      </c>
      <c r="V37">
        <v>419</v>
      </c>
      <c r="W37">
        <v>12</v>
      </c>
      <c r="X37" t="s">
        <v>71</v>
      </c>
      <c r="Y37">
        <v>1</v>
      </c>
      <c r="Z37">
        <v>2</v>
      </c>
      <c r="AA37">
        <v>77</v>
      </c>
      <c r="AB37">
        <v>3</v>
      </c>
      <c r="AC37">
        <v>2</v>
      </c>
      <c r="AD37">
        <v>1</v>
      </c>
      <c r="AE37">
        <v>5087</v>
      </c>
      <c r="AF37">
        <v>2900</v>
      </c>
      <c r="AG37">
        <v>3</v>
      </c>
      <c r="AH37">
        <v>12</v>
      </c>
      <c r="AI37">
        <v>3</v>
      </c>
      <c r="AJ37">
        <v>3</v>
      </c>
      <c r="AK37">
        <v>80</v>
      </c>
      <c r="AL37">
        <v>2</v>
      </c>
      <c r="AM37">
        <v>14</v>
      </c>
      <c r="AN37">
        <v>3</v>
      </c>
      <c r="AO37">
        <v>0</v>
      </c>
      <c r="AP37">
        <v>0</v>
      </c>
      <c r="AQ37">
        <v>0</v>
      </c>
      <c r="AR37">
        <v>0</v>
      </c>
    </row>
    <row r="38" spans="1:44" x14ac:dyDescent="0.35">
      <c r="A38" t="s">
        <v>56</v>
      </c>
      <c r="B38" t="s">
        <v>45</v>
      </c>
      <c r="C38" t="s">
        <v>58</v>
      </c>
      <c r="D38" t="s">
        <v>59</v>
      </c>
      <c r="E38" t="s">
        <v>48</v>
      </c>
      <c r="F38" t="s">
        <v>49</v>
      </c>
      <c r="G38" t="s">
        <v>1415</v>
      </c>
      <c r="H38">
        <v>1732</v>
      </c>
      <c r="I38" t="s">
        <v>62</v>
      </c>
      <c r="J38" t="s">
        <v>52</v>
      </c>
      <c r="K38" t="s">
        <v>79</v>
      </c>
      <c r="L38" t="s">
        <v>44</v>
      </c>
      <c r="M38" t="s">
        <v>54</v>
      </c>
      <c r="N38">
        <v>5</v>
      </c>
      <c r="O38">
        <v>-2</v>
      </c>
      <c r="P38">
        <v>0</v>
      </c>
      <c r="Q38">
        <v>46</v>
      </c>
      <c r="R38">
        <v>0</v>
      </c>
      <c r="T38">
        <v>0</v>
      </c>
      <c r="U38">
        <v>1</v>
      </c>
      <c r="V38">
        <v>1277</v>
      </c>
      <c r="W38">
        <v>2</v>
      </c>
      <c r="X38" t="s">
        <v>77</v>
      </c>
      <c r="Y38">
        <v>1</v>
      </c>
      <c r="Z38">
        <v>3</v>
      </c>
      <c r="AA38">
        <v>74</v>
      </c>
      <c r="AB38">
        <v>3</v>
      </c>
      <c r="AC38">
        <v>3</v>
      </c>
      <c r="AD38">
        <v>4</v>
      </c>
      <c r="AE38">
        <v>10368</v>
      </c>
      <c r="AF38">
        <v>5596</v>
      </c>
      <c r="AG38">
        <v>4</v>
      </c>
      <c r="AH38">
        <v>12</v>
      </c>
      <c r="AI38">
        <v>3</v>
      </c>
      <c r="AJ38">
        <v>2</v>
      </c>
      <c r="AK38">
        <v>80</v>
      </c>
      <c r="AL38">
        <v>1</v>
      </c>
      <c r="AM38">
        <v>13</v>
      </c>
      <c r="AN38">
        <v>2</v>
      </c>
      <c r="AO38">
        <v>10</v>
      </c>
      <c r="AP38">
        <v>6</v>
      </c>
      <c r="AQ38">
        <v>0</v>
      </c>
      <c r="AR38">
        <v>3</v>
      </c>
    </row>
    <row r="39" spans="1:44" x14ac:dyDescent="0.35">
      <c r="A39" t="s">
        <v>56</v>
      </c>
      <c r="B39" t="s">
        <v>45</v>
      </c>
      <c r="C39" t="s">
        <v>69</v>
      </c>
      <c r="D39" t="s">
        <v>59</v>
      </c>
      <c r="E39" t="s">
        <v>48</v>
      </c>
      <c r="F39" t="s">
        <v>72</v>
      </c>
      <c r="G39" t="s">
        <v>1414</v>
      </c>
      <c r="H39">
        <v>1669</v>
      </c>
      <c r="I39" t="s">
        <v>62</v>
      </c>
      <c r="J39" t="s">
        <v>52</v>
      </c>
      <c r="K39" t="s">
        <v>79</v>
      </c>
      <c r="L39" t="s">
        <v>44</v>
      </c>
      <c r="M39" t="s">
        <v>54</v>
      </c>
      <c r="N39">
        <v>3</v>
      </c>
      <c r="O39">
        <v>-2</v>
      </c>
      <c r="P39">
        <v>0</v>
      </c>
      <c r="Q39">
        <v>29</v>
      </c>
      <c r="R39">
        <v>0</v>
      </c>
      <c r="T39">
        <v>0</v>
      </c>
      <c r="U39">
        <v>1</v>
      </c>
      <c r="V39">
        <v>991</v>
      </c>
      <c r="W39">
        <v>5</v>
      </c>
      <c r="X39" t="s">
        <v>77</v>
      </c>
      <c r="Y39">
        <v>1</v>
      </c>
      <c r="Z39">
        <v>1</v>
      </c>
      <c r="AA39">
        <v>43</v>
      </c>
      <c r="AB39">
        <v>2</v>
      </c>
      <c r="AC39">
        <v>2</v>
      </c>
      <c r="AD39">
        <v>2</v>
      </c>
      <c r="AE39">
        <v>4187</v>
      </c>
      <c r="AF39">
        <v>3356</v>
      </c>
      <c r="AG39">
        <v>1</v>
      </c>
      <c r="AH39">
        <v>13</v>
      </c>
      <c r="AI39">
        <v>3</v>
      </c>
      <c r="AJ39">
        <v>2</v>
      </c>
      <c r="AK39">
        <v>80</v>
      </c>
      <c r="AL39">
        <v>1</v>
      </c>
      <c r="AM39">
        <v>10</v>
      </c>
      <c r="AN39">
        <v>2</v>
      </c>
      <c r="AO39">
        <v>10</v>
      </c>
      <c r="AP39">
        <v>0</v>
      </c>
      <c r="AQ39">
        <v>0</v>
      </c>
      <c r="AR39">
        <v>9</v>
      </c>
    </row>
    <row r="40" spans="1:44" x14ac:dyDescent="0.35">
      <c r="A40" t="s">
        <v>56</v>
      </c>
      <c r="B40" t="s">
        <v>57</v>
      </c>
      <c r="C40" t="s">
        <v>69</v>
      </c>
      <c r="D40" t="s">
        <v>59</v>
      </c>
      <c r="E40" t="s">
        <v>48</v>
      </c>
      <c r="F40" t="s">
        <v>49</v>
      </c>
      <c r="G40" t="s">
        <v>1396</v>
      </c>
      <c r="H40">
        <v>1927</v>
      </c>
      <c r="I40" t="s">
        <v>62</v>
      </c>
      <c r="J40" t="s">
        <v>52</v>
      </c>
      <c r="K40" t="s">
        <v>64</v>
      </c>
      <c r="L40" t="s">
        <v>44</v>
      </c>
      <c r="M40" t="s">
        <v>54</v>
      </c>
      <c r="N40">
        <v>2</v>
      </c>
      <c r="O40">
        <v>-2</v>
      </c>
      <c r="P40">
        <v>0</v>
      </c>
      <c r="Q40">
        <v>28</v>
      </c>
      <c r="R40">
        <v>0</v>
      </c>
      <c r="T40">
        <v>0</v>
      </c>
      <c r="U40">
        <v>1</v>
      </c>
      <c r="V40">
        <v>783</v>
      </c>
      <c r="W40">
        <v>1</v>
      </c>
      <c r="X40" t="s">
        <v>55</v>
      </c>
      <c r="Y40">
        <v>1</v>
      </c>
      <c r="Z40">
        <v>3</v>
      </c>
      <c r="AA40">
        <v>42</v>
      </c>
      <c r="AB40">
        <v>2</v>
      </c>
      <c r="AC40">
        <v>2</v>
      </c>
      <c r="AD40">
        <v>4</v>
      </c>
      <c r="AE40">
        <v>6834</v>
      </c>
      <c r="AF40">
        <v>19255</v>
      </c>
      <c r="AG40">
        <v>1</v>
      </c>
      <c r="AH40">
        <v>12</v>
      </c>
      <c r="AI40">
        <v>3</v>
      </c>
      <c r="AJ40">
        <v>3</v>
      </c>
      <c r="AK40">
        <v>80</v>
      </c>
      <c r="AL40">
        <v>1</v>
      </c>
      <c r="AM40">
        <v>7</v>
      </c>
      <c r="AN40">
        <v>3</v>
      </c>
      <c r="AO40">
        <v>7</v>
      </c>
      <c r="AP40">
        <v>7</v>
      </c>
      <c r="AQ40">
        <v>0</v>
      </c>
      <c r="AR40">
        <v>7</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91</v>
      </c>
      <c r="C42" t="s">
        <v>69</v>
      </c>
      <c r="D42" t="s">
        <v>59</v>
      </c>
      <c r="E42" t="s">
        <v>48</v>
      </c>
      <c r="F42" t="s">
        <v>49</v>
      </c>
      <c r="G42" t="s">
        <v>1383</v>
      </c>
      <c r="H42">
        <v>1774</v>
      </c>
      <c r="I42" t="s">
        <v>62</v>
      </c>
      <c r="J42" t="s">
        <v>52</v>
      </c>
      <c r="K42" t="s">
        <v>79</v>
      </c>
      <c r="L42" t="s">
        <v>44</v>
      </c>
      <c r="M42" t="s">
        <v>54</v>
      </c>
      <c r="N42">
        <v>3</v>
      </c>
      <c r="O42">
        <v>-2</v>
      </c>
      <c r="P42">
        <v>0</v>
      </c>
      <c r="Q42">
        <v>34</v>
      </c>
      <c r="R42">
        <v>0</v>
      </c>
      <c r="T42">
        <v>0</v>
      </c>
      <c r="U42">
        <v>1</v>
      </c>
      <c r="V42">
        <v>1375</v>
      </c>
      <c r="W42">
        <v>10</v>
      </c>
      <c r="X42" t="s">
        <v>77</v>
      </c>
      <c r="Y42">
        <v>1</v>
      </c>
      <c r="Z42">
        <v>4</v>
      </c>
      <c r="AA42">
        <v>87</v>
      </c>
      <c r="AB42">
        <v>3</v>
      </c>
      <c r="AC42">
        <v>2</v>
      </c>
      <c r="AD42">
        <v>3</v>
      </c>
      <c r="AE42">
        <v>4001</v>
      </c>
      <c r="AF42">
        <v>12313</v>
      </c>
      <c r="AG42">
        <v>1</v>
      </c>
      <c r="AH42">
        <v>14</v>
      </c>
      <c r="AI42">
        <v>3</v>
      </c>
      <c r="AJ42">
        <v>3</v>
      </c>
      <c r="AK42">
        <v>80</v>
      </c>
      <c r="AL42">
        <v>1</v>
      </c>
      <c r="AM42">
        <v>15</v>
      </c>
      <c r="AN42">
        <v>3</v>
      </c>
      <c r="AO42">
        <v>15</v>
      </c>
      <c r="AP42">
        <v>14</v>
      </c>
      <c r="AQ42">
        <v>0</v>
      </c>
      <c r="AR42">
        <v>7</v>
      </c>
    </row>
    <row r="43" spans="1:44" x14ac:dyDescent="0.35">
      <c r="A43" t="s">
        <v>56</v>
      </c>
      <c r="B43" t="s">
        <v>45</v>
      </c>
      <c r="C43" t="s">
        <v>46</v>
      </c>
      <c r="D43" t="s">
        <v>59</v>
      </c>
      <c r="E43" t="s">
        <v>48</v>
      </c>
      <c r="F43" t="s">
        <v>106</v>
      </c>
      <c r="G43" t="s">
        <v>1379</v>
      </c>
      <c r="H43">
        <v>1425</v>
      </c>
      <c r="I43" t="s">
        <v>51</v>
      </c>
      <c r="J43" t="s">
        <v>52</v>
      </c>
      <c r="K43" t="s">
        <v>53</v>
      </c>
      <c r="L43" t="s">
        <v>44</v>
      </c>
      <c r="M43" t="s">
        <v>54</v>
      </c>
      <c r="N43">
        <v>3</v>
      </c>
      <c r="O43">
        <v>-2</v>
      </c>
      <c r="P43">
        <v>0</v>
      </c>
      <c r="Q43">
        <v>36</v>
      </c>
      <c r="R43">
        <v>0</v>
      </c>
      <c r="T43">
        <v>0</v>
      </c>
      <c r="U43">
        <v>1</v>
      </c>
      <c r="V43">
        <v>1174</v>
      </c>
      <c r="W43">
        <v>3</v>
      </c>
      <c r="X43" t="s">
        <v>71</v>
      </c>
      <c r="Y43">
        <v>1</v>
      </c>
      <c r="Z43">
        <v>1</v>
      </c>
      <c r="AA43">
        <v>99</v>
      </c>
      <c r="AB43">
        <v>3</v>
      </c>
      <c r="AC43">
        <v>2</v>
      </c>
      <c r="AD43">
        <v>1</v>
      </c>
      <c r="AE43">
        <v>9278</v>
      </c>
      <c r="AF43">
        <v>20763</v>
      </c>
      <c r="AG43">
        <v>3</v>
      </c>
      <c r="AH43">
        <v>16</v>
      </c>
      <c r="AI43">
        <v>3</v>
      </c>
      <c r="AJ43">
        <v>4</v>
      </c>
      <c r="AK43">
        <v>80</v>
      </c>
      <c r="AL43">
        <v>0</v>
      </c>
      <c r="AM43">
        <v>15</v>
      </c>
      <c r="AN43">
        <v>3</v>
      </c>
      <c r="AO43">
        <v>5</v>
      </c>
      <c r="AP43">
        <v>4</v>
      </c>
      <c r="AQ43">
        <v>0</v>
      </c>
      <c r="AR43">
        <v>1</v>
      </c>
    </row>
    <row r="44" spans="1:44" x14ac:dyDescent="0.35">
      <c r="A44" t="s">
        <v>56</v>
      </c>
      <c r="B44" t="s">
        <v>45</v>
      </c>
      <c r="C44" t="s">
        <v>92</v>
      </c>
      <c r="D44" t="s">
        <v>59</v>
      </c>
      <c r="E44" t="s">
        <v>48</v>
      </c>
      <c r="F44" t="s">
        <v>72</v>
      </c>
      <c r="G44" t="s">
        <v>1378</v>
      </c>
      <c r="H44">
        <v>1445</v>
      </c>
      <c r="I44" t="s">
        <v>51</v>
      </c>
      <c r="J44" t="s">
        <v>52</v>
      </c>
      <c r="K44" t="s">
        <v>64</v>
      </c>
      <c r="L44" t="s">
        <v>44</v>
      </c>
      <c r="M44" t="s">
        <v>54</v>
      </c>
      <c r="N44">
        <v>3</v>
      </c>
      <c r="O44">
        <v>-2</v>
      </c>
      <c r="P44">
        <v>0</v>
      </c>
      <c r="Q44">
        <v>24</v>
      </c>
      <c r="R44">
        <v>0</v>
      </c>
      <c r="T44">
        <v>0</v>
      </c>
      <c r="U44">
        <v>1</v>
      </c>
      <c r="V44">
        <v>1476</v>
      </c>
      <c r="W44">
        <v>4</v>
      </c>
      <c r="X44" t="s">
        <v>65</v>
      </c>
      <c r="Y44">
        <v>1</v>
      </c>
      <c r="Z44">
        <v>4</v>
      </c>
      <c r="AA44">
        <v>42</v>
      </c>
      <c r="AB44">
        <v>3</v>
      </c>
      <c r="AC44">
        <v>2</v>
      </c>
      <c r="AD44">
        <v>3</v>
      </c>
      <c r="AE44">
        <v>4162</v>
      </c>
      <c r="AF44">
        <v>15211</v>
      </c>
      <c r="AG44">
        <v>1</v>
      </c>
      <c r="AH44">
        <v>12</v>
      </c>
      <c r="AI44">
        <v>3</v>
      </c>
      <c r="AJ44">
        <v>3</v>
      </c>
      <c r="AK44">
        <v>80</v>
      </c>
      <c r="AL44">
        <v>2</v>
      </c>
      <c r="AM44">
        <v>5</v>
      </c>
      <c r="AN44">
        <v>3</v>
      </c>
      <c r="AO44">
        <v>5</v>
      </c>
      <c r="AP44">
        <v>4</v>
      </c>
      <c r="AQ44">
        <v>0</v>
      </c>
      <c r="AR44">
        <v>3</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45</v>
      </c>
      <c r="C46" t="s">
        <v>58</v>
      </c>
      <c r="D46" t="s">
        <v>59</v>
      </c>
      <c r="E46" t="s">
        <v>48</v>
      </c>
      <c r="F46" t="s">
        <v>72</v>
      </c>
      <c r="G46" t="s">
        <v>1376</v>
      </c>
      <c r="H46">
        <v>1503</v>
      </c>
      <c r="I46" t="s">
        <v>51</v>
      </c>
      <c r="J46" t="s">
        <v>52</v>
      </c>
      <c r="K46" t="s">
        <v>64</v>
      </c>
      <c r="L46" t="s">
        <v>44</v>
      </c>
      <c r="M46" t="s">
        <v>54</v>
      </c>
      <c r="N46">
        <v>4</v>
      </c>
      <c r="O46">
        <v>-2</v>
      </c>
      <c r="P46">
        <v>0</v>
      </c>
      <c r="Q46">
        <v>47</v>
      </c>
      <c r="R46">
        <v>0</v>
      </c>
      <c r="T46">
        <v>0</v>
      </c>
      <c r="U46">
        <v>1</v>
      </c>
      <c r="V46">
        <v>571</v>
      </c>
      <c r="W46">
        <v>14</v>
      </c>
      <c r="X46" t="s">
        <v>77</v>
      </c>
      <c r="Y46">
        <v>1</v>
      </c>
      <c r="Z46">
        <v>3</v>
      </c>
      <c r="AA46">
        <v>78</v>
      </c>
      <c r="AB46">
        <v>3</v>
      </c>
      <c r="AC46">
        <v>2</v>
      </c>
      <c r="AD46">
        <v>3</v>
      </c>
      <c r="AE46">
        <v>4591</v>
      </c>
      <c r="AF46">
        <v>24200</v>
      </c>
      <c r="AG46">
        <v>3</v>
      </c>
      <c r="AH46">
        <v>17</v>
      </c>
      <c r="AI46">
        <v>3</v>
      </c>
      <c r="AJ46">
        <v>3</v>
      </c>
      <c r="AK46">
        <v>80</v>
      </c>
      <c r="AL46">
        <v>1</v>
      </c>
      <c r="AM46">
        <v>11</v>
      </c>
      <c r="AN46">
        <v>2</v>
      </c>
      <c r="AO46">
        <v>5</v>
      </c>
      <c r="AP46">
        <v>4</v>
      </c>
      <c r="AQ46">
        <v>1</v>
      </c>
      <c r="AR46">
        <v>2</v>
      </c>
    </row>
    <row r="47" spans="1:44" x14ac:dyDescent="0.35">
      <c r="A47" t="s">
        <v>56</v>
      </c>
      <c r="B47" t="s">
        <v>45</v>
      </c>
      <c r="C47" t="s">
        <v>46</v>
      </c>
      <c r="D47" t="s">
        <v>59</v>
      </c>
      <c r="E47" t="s">
        <v>48</v>
      </c>
      <c r="F47" t="s">
        <v>113</v>
      </c>
      <c r="G47" t="s">
        <v>1375</v>
      </c>
      <c r="H47">
        <v>1880</v>
      </c>
      <c r="I47" t="s">
        <v>51</v>
      </c>
      <c r="J47" t="s">
        <v>52</v>
      </c>
      <c r="K47" t="s">
        <v>64</v>
      </c>
      <c r="L47" t="s">
        <v>44</v>
      </c>
      <c r="M47" t="s">
        <v>54</v>
      </c>
      <c r="N47">
        <v>4</v>
      </c>
      <c r="O47">
        <v>-2</v>
      </c>
      <c r="P47">
        <v>0</v>
      </c>
      <c r="Q47">
        <v>36</v>
      </c>
      <c r="R47">
        <v>0</v>
      </c>
      <c r="T47">
        <v>0</v>
      </c>
      <c r="U47">
        <v>1</v>
      </c>
      <c r="V47">
        <v>1266</v>
      </c>
      <c r="W47">
        <v>10</v>
      </c>
      <c r="X47" t="s">
        <v>71</v>
      </c>
      <c r="Y47">
        <v>1</v>
      </c>
      <c r="Z47">
        <v>4</v>
      </c>
      <c r="AA47">
        <v>63</v>
      </c>
      <c r="AB47">
        <v>2</v>
      </c>
      <c r="AC47">
        <v>2</v>
      </c>
      <c r="AD47">
        <v>4</v>
      </c>
      <c r="AE47">
        <v>5673</v>
      </c>
      <c r="AF47">
        <v>6060</v>
      </c>
      <c r="AG47">
        <v>1</v>
      </c>
      <c r="AH47">
        <v>13</v>
      </c>
      <c r="AI47">
        <v>3</v>
      </c>
      <c r="AJ47">
        <v>1</v>
      </c>
      <c r="AK47">
        <v>80</v>
      </c>
      <c r="AL47">
        <v>1</v>
      </c>
      <c r="AM47">
        <v>10</v>
      </c>
      <c r="AN47">
        <v>3</v>
      </c>
      <c r="AO47">
        <v>10</v>
      </c>
      <c r="AP47">
        <v>9</v>
      </c>
      <c r="AQ47">
        <v>1</v>
      </c>
      <c r="AR47">
        <v>7</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69</v>
      </c>
      <c r="D49" t="s">
        <v>59</v>
      </c>
      <c r="E49" t="s">
        <v>48</v>
      </c>
      <c r="F49" t="s">
        <v>72</v>
      </c>
      <c r="G49" t="s">
        <v>1374</v>
      </c>
      <c r="H49">
        <v>1915</v>
      </c>
      <c r="I49" t="s">
        <v>51</v>
      </c>
      <c r="J49" t="s">
        <v>52</v>
      </c>
      <c r="K49" t="s">
        <v>64</v>
      </c>
      <c r="L49" t="s">
        <v>44</v>
      </c>
      <c r="M49" t="s">
        <v>54</v>
      </c>
      <c r="N49">
        <v>3</v>
      </c>
      <c r="O49">
        <v>-2</v>
      </c>
      <c r="P49">
        <v>0</v>
      </c>
      <c r="Q49">
        <v>34</v>
      </c>
      <c r="R49">
        <v>0</v>
      </c>
      <c r="T49">
        <v>0</v>
      </c>
      <c r="U49">
        <v>1</v>
      </c>
      <c r="V49">
        <v>735</v>
      </c>
      <c r="W49">
        <v>3</v>
      </c>
      <c r="X49" t="s">
        <v>65</v>
      </c>
      <c r="Y49">
        <v>1</v>
      </c>
      <c r="Z49">
        <v>4</v>
      </c>
      <c r="AA49">
        <v>75</v>
      </c>
      <c r="AB49">
        <v>2</v>
      </c>
      <c r="AC49">
        <v>2</v>
      </c>
      <c r="AD49">
        <v>4</v>
      </c>
      <c r="AE49">
        <v>8103</v>
      </c>
      <c r="AF49">
        <v>16495</v>
      </c>
      <c r="AG49">
        <v>3</v>
      </c>
      <c r="AH49">
        <v>12</v>
      </c>
      <c r="AI49">
        <v>3</v>
      </c>
      <c r="AJ49">
        <v>3</v>
      </c>
      <c r="AK49">
        <v>80</v>
      </c>
      <c r="AL49">
        <v>0</v>
      </c>
      <c r="AM49">
        <v>9</v>
      </c>
      <c r="AN49">
        <v>2</v>
      </c>
      <c r="AO49">
        <v>4</v>
      </c>
      <c r="AP49">
        <v>2</v>
      </c>
      <c r="AQ49">
        <v>0</v>
      </c>
      <c r="AR49">
        <v>1</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48</v>
      </c>
      <c r="F51" t="s">
        <v>49</v>
      </c>
      <c r="G51" t="s">
        <v>1373</v>
      </c>
      <c r="H51">
        <v>1962</v>
      </c>
      <c r="I51" t="s">
        <v>51</v>
      </c>
      <c r="J51" t="s">
        <v>52</v>
      </c>
      <c r="K51" t="s">
        <v>64</v>
      </c>
      <c r="L51" t="s">
        <v>44</v>
      </c>
      <c r="M51" t="s">
        <v>54</v>
      </c>
      <c r="N51">
        <v>2</v>
      </c>
      <c r="O51">
        <v>-2</v>
      </c>
      <c r="P51">
        <v>0</v>
      </c>
      <c r="Q51">
        <v>35</v>
      </c>
      <c r="R51">
        <v>0</v>
      </c>
      <c r="T51">
        <v>0</v>
      </c>
      <c r="U51">
        <v>1</v>
      </c>
      <c r="V51">
        <v>1224</v>
      </c>
      <c r="W51">
        <v>7</v>
      </c>
      <c r="X51" t="s">
        <v>71</v>
      </c>
      <c r="Y51">
        <v>1</v>
      </c>
      <c r="Z51">
        <v>3</v>
      </c>
      <c r="AA51">
        <v>55</v>
      </c>
      <c r="AB51">
        <v>3</v>
      </c>
      <c r="AC51">
        <v>2</v>
      </c>
      <c r="AD51">
        <v>4</v>
      </c>
      <c r="AE51">
        <v>5204</v>
      </c>
      <c r="AF51">
        <v>13586</v>
      </c>
      <c r="AG51">
        <v>1</v>
      </c>
      <c r="AH51">
        <v>11</v>
      </c>
      <c r="AI51">
        <v>3</v>
      </c>
      <c r="AJ51">
        <v>4</v>
      </c>
      <c r="AK51">
        <v>80</v>
      </c>
      <c r="AL51">
        <v>0</v>
      </c>
      <c r="AM51">
        <v>10</v>
      </c>
      <c r="AN51">
        <v>3</v>
      </c>
      <c r="AO51">
        <v>10</v>
      </c>
      <c r="AP51">
        <v>8</v>
      </c>
      <c r="AQ51">
        <v>0</v>
      </c>
      <c r="AR51">
        <v>9</v>
      </c>
    </row>
    <row r="52" spans="1:44" x14ac:dyDescent="0.35">
      <c r="A52" t="s">
        <v>56</v>
      </c>
      <c r="B52" t="s">
        <v>45</v>
      </c>
      <c r="C52" t="s">
        <v>69</v>
      </c>
      <c r="D52" t="s">
        <v>59</v>
      </c>
      <c r="E52" t="s">
        <v>48</v>
      </c>
      <c r="F52" t="s">
        <v>72</v>
      </c>
      <c r="G52" t="s">
        <v>1372</v>
      </c>
      <c r="H52">
        <v>1912</v>
      </c>
      <c r="I52" t="s">
        <v>51</v>
      </c>
      <c r="J52" t="s">
        <v>52</v>
      </c>
      <c r="K52" t="s">
        <v>79</v>
      </c>
      <c r="L52" t="s">
        <v>44</v>
      </c>
      <c r="M52" t="s">
        <v>54</v>
      </c>
      <c r="N52">
        <v>2</v>
      </c>
      <c r="O52">
        <v>-2</v>
      </c>
      <c r="P52">
        <v>0</v>
      </c>
      <c r="Q52">
        <v>31</v>
      </c>
      <c r="R52">
        <v>0</v>
      </c>
      <c r="T52">
        <v>0</v>
      </c>
      <c r="U52">
        <v>1</v>
      </c>
      <c r="V52">
        <v>1079</v>
      </c>
      <c r="W52">
        <v>10</v>
      </c>
      <c r="X52" t="s">
        <v>55</v>
      </c>
      <c r="Y52">
        <v>1</v>
      </c>
      <c r="Z52">
        <v>3</v>
      </c>
      <c r="AA52">
        <v>86</v>
      </c>
      <c r="AB52">
        <v>3</v>
      </c>
      <c r="AC52">
        <v>2</v>
      </c>
      <c r="AD52">
        <v>4</v>
      </c>
      <c r="AE52">
        <v>6583</v>
      </c>
      <c r="AF52">
        <v>20115</v>
      </c>
      <c r="AG52">
        <v>2</v>
      </c>
      <c r="AH52">
        <v>11</v>
      </c>
      <c r="AI52">
        <v>3</v>
      </c>
      <c r="AJ52">
        <v>4</v>
      </c>
      <c r="AK52">
        <v>80</v>
      </c>
      <c r="AL52">
        <v>1</v>
      </c>
      <c r="AM52">
        <v>8</v>
      </c>
      <c r="AN52">
        <v>3</v>
      </c>
      <c r="AO52">
        <v>5</v>
      </c>
      <c r="AP52">
        <v>2</v>
      </c>
      <c r="AQ52">
        <v>1</v>
      </c>
      <c r="AR52">
        <v>4</v>
      </c>
    </row>
    <row r="53" spans="1:44" x14ac:dyDescent="0.35">
      <c r="A53" t="s">
        <v>56</v>
      </c>
      <c r="B53" t="s">
        <v>45</v>
      </c>
      <c r="C53" t="s">
        <v>46</v>
      </c>
      <c r="D53" t="s">
        <v>59</v>
      </c>
      <c r="E53" t="s">
        <v>48</v>
      </c>
      <c r="F53" t="s">
        <v>106</v>
      </c>
      <c r="G53" t="s">
        <v>1371</v>
      </c>
      <c r="H53">
        <v>1815</v>
      </c>
      <c r="I53" t="s">
        <v>51</v>
      </c>
      <c r="J53" t="s">
        <v>52</v>
      </c>
      <c r="K53" t="s">
        <v>79</v>
      </c>
      <c r="L53" t="s">
        <v>44</v>
      </c>
      <c r="M53" t="s">
        <v>54</v>
      </c>
      <c r="N53">
        <v>3</v>
      </c>
      <c r="O53">
        <v>-2</v>
      </c>
      <c r="P53">
        <v>0</v>
      </c>
      <c r="Q53">
        <v>41</v>
      </c>
      <c r="R53">
        <v>0</v>
      </c>
      <c r="T53">
        <v>0</v>
      </c>
      <c r="U53">
        <v>1</v>
      </c>
      <c r="V53">
        <v>796</v>
      </c>
      <c r="W53">
        <v>4</v>
      </c>
      <c r="X53" t="s">
        <v>65</v>
      </c>
      <c r="Y53">
        <v>1</v>
      </c>
      <c r="Z53">
        <v>3</v>
      </c>
      <c r="AA53">
        <v>81</v>
      </c>
      <c r="AB53">
        <v>3</v>
      </c>
      <c r="AC53">
        <v>3</v>
      </c>
      <c r="AD53">
        <v>1</v>
      </c>
      <c r="AE53">
        <v>10447</v>
      </c>
      <c r="AF53">
        <v>26458</v>
      </c>
      <c r="AG53">
        <v>0</v>
      </c>
      <c r="AH53">
        <v>13</v>
      </c>
      <c r="AI53">
        <v>3</v>
      </c>
      <c r="AJ53">
        <v>4</v>
      </c>
      <c r="AK53">
        <v>80</v>
      </c>
      <c r="AL53">
        <v>1</v>
      </c>
      <c r="AM53">
        <v>23</v>
      </c>
      <c r="AN53">
        <v>4</v>
      </c>
      <c r="AO53">
        <v>22</v>
      </c>
      <c r="AP53">
        <v>14</v>
      </c>
      <c r="AQ53">
        <v>13</v>
      </c>
      <c r="AR53">
        <v>5</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45</v>
      </c>
      <c r="C55" t="s">
        <v>69</v>
      </c>
      <c r="D55" t="s">
        <v>59</v>
      </c>
      <c r="E55" t="s">
        <v>48</v>
      </c>
      <c r="F55" t="s">
        <v>106</v>
      </c>
      <c r="G55" t="s">
        <v>1347</v>
      </c>
      <c r="H55">
        <v>1965</v>
      </c>
      <c r="I55" t="s">
        <v>62</v>
      </c>
      <c r="J55" t="s">
        <v>52</v>
      </c>
      <c r="K55" t="s">
        <v>53</v>
      </c>
      <c r="L55" t="s">
        <v>56</v>
      </c>
      <c r="M55" t="s">
        <v>54</v>
      </c>
      <c r="N55">
        <v>5</v>
      </c>
      <c r="O55">
        <v>-2</v>
      </c>
      <c r="P55">
        <v>0</v>
      </c>
      <c r="Q55">
        <v>27</v>
      </c>
      <c r="R55">
        <v>0</v>
      </c>
      <c r="T55">
        <v>0</v>
      </c>
      <c r="U55">
        <v>1</v>
      </c>
      <c r="V55">
        <v>954</v>
      </c>
      <c r="W55">
        <v>9</v>
      </c>
      <c r="X55" t="s">
        <v>77</v>
      </c>
      <c r="Y55">
        <v>1</v>
      </c>
      <c r="Z55">
        <v>4</v>
      </c>
      <c r="AA55">
        <v>44</v>
      </c>
      <c r="AB55">
        <v>3</v>
      </c>
      <c r="AC55">
        <v>2</v>
      </c>
      <c r="AD55">
        <v>1</v>
      </c>
      <c r="AE55">
        <v>4105</v>
      </c>
      <c r="AF55">
        <v>5099</v>
      </c>
      <c r="AG55">
        <v>1</v>
      </c>
      <c r="AH55">
        <v>14</v>
      </c>
      <c r="AI55">
        <v>3</v>
      </c>
      <c r="AJ55">
        <v>1</v>
      </c>
      <c r="AK55">
        <v>80</v>
      </c>
      <c r="AL55">
        <v>0</v>
      </c>
      <c r="AM55">
        <v>7</v>
      </c>
      <c r="AN55">
        <v>3</v>
      </c>
      <c r="AO55">
        <v>7</v>
      </c>
      <c r="AP55">
        <v>7</v>
      </c>
      <c r="AQ55">
        <v>0</v>
      </c>
      <c r="AR55">
        <v>7</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45</v>
      </c>
      <c r="C57" t="s">
        <v>46</v>
      </c>
      <c r="D57" t="s">
        <v>59</v>
      </c>
      <c r="E57" t="s">
        <v>48</v>
      </c>
      <c r="F57" t="s">
        <v>106</v>
      </c>
      <c r="G57" t="s">
        <v>1346</v>
      </c>
      <c r="H57">
        <v>1708</v>
      </c>
      <c r="I57" t="s">
        <v>62</v>
      </c>
      <c r="J57" t="s">
        <v>52</v>
      </c>
      <c r="K57" t="s">
        <v>53</v>
      </c>
      <c r="L57" t="s">
        <v>56</v>
      </c>
      <c r="M57" t="s">
        <v>54</v>
      </c>
      <c r="N57">
        <v>3</v>
      </c>
      <c r="O57">
        <v>-2</v>
      </c>
      <c r="P57">
        <v>0</v>
      </c>
      <c r="Q57">
        <v>41</v>
      </c>
      <c r="R57">
        <v>0</v>
      </c>
      <c r="T57">
        <v>0</v>
      </c>
      <c r="U57">
        <v>1</v>
      </c>
      <c r="V57">
        <v>918</v>
      </c>
      <c r="W57">
        <v>6</v>
      </c>
      <c r="X57" t="s">
        <v>77</v>
      </c>
      <c r="Y57">
        <v>1</v>
      </c>
      <c r="Z57">
        <v>4</v>
      </c>
      <c r="AA57">
        <v>35</v>
      </c>
      <c r="AB57">
        <v>3</v>
      </c>
      <c r="AC57">
        <v>3</v>
      </c>
      <c r="AD57">
        <v>1</v>
      </c>
      <c r="AE57">
        <v>9241</v>
      </c>
      <c r="AF57">
        <v>15869</v>
      </c>
      <c r="AG57">
        <v>1</v>
      </c>
      <c r="AH57">
        <v>12</v>
      </c>
      <c r="AI57">
        <v>3</v>
      </c>
      <c r="AJ57">
        <v>2</v>
      </c>
      <c r="AK57">
        <v>80</v>
      </c>
      <c r="AL57">
        <v>0</v>
      </c>
      <c r="AM57">
        <v>10</v>
      </c>
      <c r="AN57">
        <v>3</v>
      </c>
      <c r="AO57">
        <v>10</v>
      </c>
      <c r="AP57">
        <v>8</v>
      </c>
      <c r="AQ57">
        <v>8</v>
      </c>
      <c r="AR57">
        <v>7</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69</v>
      </c>
      <c r="D59" t="s">
        <v>59</v>
      </c>
      <c r="E59" t="s">
        <v>48</v>
      </c>
      <c r="F59" t="s">
        <v>72</v>
      </c>
      <c r="G59" t="s">
        <v>1345</v>
      </c>
      <c r="H59">
        <v>1469</v>
      </c>
      <c r="I59" t="s">
        <v>62</v>
      </c>
      <c r="J59" t="s">
        <v>52</v>
      </c>
      <c r="K59" t="s">
        <v>53</v>
      </c>
      <c r="L59" t="s">
        <v>56</v>
      </c>
      <c r="M59" t="s">
        <v>54</v>
      </c>
      <c r="N59">
        <v>4</v>
      </c>
      <c r="O59">
        <v>-2</v>
      </c>
      <c r="P59">
        <v>0</v>
      </c>
      <c r="Q59">
        <v>28</v>
      </c>
      <c r="R59">
        <v>0</v>
      </c>
      <c r="T59">
        <v>0</v>
      </c>
      <c r="U59">
        <v>1</v>
      </c>
      <c r="V59">
        <v>866</v>
      </c>
      <c r="W59">
        <v>5</v>
      </c>
      <c r="X59" t="s">
        <v>77</v>
      </c>
      <c r="Y59">
        <v>1</v>
      </c>
      <c r="Z59">
        <v>4</v>
      </c>
      <c r="AA59">
        <v>84</v>
      </c>
      <c r="AB59">
        <v>3</v>
      </c>
      <c r="AC59">
        <v>2</v>
      </c>
      <c r="AD59">
        <v>1</v>
      </c>
      <c r="AE59">
        <v>8463</v>
      </c>
      <c r="AF59">
        <v>23490</v>
      </c>
      <c r="AG59">
        <v>0</v>
      </c>
      <c r="AH59">
        <v>18</v>
      </c>
      <c r="AI59">
        <v>3</v>
      </c>
      <c r="AJ59">
        <v>4</v>
      </c>
      <c r="AK59">
        <v>80</v>
      </c>
      <c r="AL59">
        <v>0</v>
      </c>
      <c r="AM59">
        <v>6</v>
      </c>
      <c r="AN59">
        <v>3</v>
      </c>
      <c r="AO59">
        <v>5</v>
      </c>
      <c r="AP59">
        <v>4</v>
      </c>
      <c r="AQ59">
        <v>1</v>
      </c>
      <c r="AR59">
        <v>3</v>
      </c>
    </row>
    <row r="60" spans="1:44" x14ac:dyDescent="0.35">
      <c r="A60" t="s">
        <v>56</v>
      </c>
      <c r="B60" t="s">
        <v>45</v>
      </c>
      <c r="C60" t="s">
        <v>69</v>
      </c>
      <c r="D60" t="s">
        <v>59</v>
      </c>
      <c r="E60" t="s">
        <v>48</v>
      </c>
      <c r="F60" t="s">
        <v>66</v>
      </c>
      <c r="G60" t="s">
        <v>1343</v>
      </c>
      <c r="H60">
        <v>1478</v>
      </c>
      <c r="I60" t="s">
        <v>62</v>
      </c>
      <c r="J60" t="s">
        <v>52</v>
      </c>
      <c r="K60" t="s">
        <v>53</v>
      </c>
      <c r="L60" t="s">
        <v>56</v>
      </c>
      <c r="M60" t="s">
        <v>54</v>
      </c>
      <c r="N60">
        <v>2</v>
      </c>
      <c r="O60">
        <v>-2</v>
      </c>
      <c r="P60">
        <v>0</v>
      </c>
      <c r="Q60">
        <v>34</v>
      </c>
      <c r="R60">
        <v>0</v>
      </c>
      <c r="T60">
        <v>0</v>
      </c>
      <c r="U60">
        <v>1</v>
      </c>
      <c r="V60">
        <v>1326</v>
      </c>
      <c r="W60">
        <v>3</v>
      </c>
      <c r="X60" t="s">
        <v>77</v>
      </c>
      <c r="Y60">
        <v>1</v>
      </c>
      <c r="Z60">
        <v>4</v>
      </c>
      <c r="AA60">
        <v>81</v>
      </c>
      <c r="AB60">
        <v>1</v>
      </c>
      <c r="AC60">
        <v>2</v>
      </c>
      <c r="AD60">
        <v>1</v>
      </c>
      <c r="AE60">
        <v>4759</v>
      </c>
      <c r="AF60">
        <v>15891</v>
      </c>
      <c r="AG60">
        <v>3</v>
      </c>
      <c r="AH60">
        <v>18</v>
      </c>
      <c r="AI60">
        <v>3</v>
      </c>
      <c r="AJ60">
        <v>4</v>
      </c>
      <c r="AK60">
        <v>80</v>
      </c>
      <c r="AL60">
        <v>0</v>
      </c>
      <c r="AM60">
        <v>15</v>
      </c>
      <c r="AN60">
        <v>3</v>
      </c>
      <c r="AO60">
        <v>13</v>
      </c>
      <c r="AP60">
        <v>9</v>
      </c>
      <c r="AQ60">
        <v>3</v>
      </c>
      <c r="AR60">
        <v>12</v>
      </c>
    </row>
    <row r="61" spans="1:44" x14ac:dyDescent="0.35">
      <c r="A61" t="s">
        <v>56</v>
      </c>
      <c r="B61" t="s">
        <v>45</v>
      </c>
      <c r="C61" t="s">
        <v>69</v>
      </c>
      <c r="D61" t="s">
        <v>59</v>
      </c>
      <c r="E61" t="s">
        <v>48</v>
      </c>
      <c r="F61" t="s">
        <v>72</v>
      </c>
      <c r="G61" t="s">
        <v>1342</v>
      </c>
      <c r="H61">
        <v>1836</v>
      </c>
      <c r="I61" t="s">
        <v>62</v>
      </c>
      <c r="J61" t="s">
        <v>52</v>
      </c>
      <c r="K61" t="s">
        <v>53</v>
      </c>
      <c r="L61" t="s">
        <v>56</v>
      </c>
      <c r="M61" t="s">
        <v>54</v>
      </c>
      <c r="N61">
        <v>4</v>
      </c>
      <c r="O61">
        <v>-2</v>
      </c>
      <c r="P61">
        <v>0</v>
      </c>
      <c r="Q61">
        <v>26</v>
      </c>
      <c r="R61">
        <v>0</v>
      </c>
      <c r="T61">
        <v>0</v>
      </c>
      <c r="U61">
        <v>1</v>
      </c>
      <c r="V61">
        <v>572</v>
      </c>
      <c r="W61">
        <v>10</v>
      </c>
      <c r="X61" t="s">
        <v>77</v>
      </c>
      <c r="Y61">
        <v>1</v>
      </c>
      <c r="Z61">
        <v>3</v>
      </c>
      <c r="AA61">
        <v>46</v>
      </c>
      <c r="AB61">
        <v>3</v>
      </c>
      <c r="AC61">
        <v>2</v>
      </c>
      <c r="AD61">
        <v>4</v>
      </c>
      <c r="AE61">
        <v>4684</v>
      </c>
      <c r="AF61">
        <v>9125</v>
      </c>
      <c r="AG61">
        <v>1</v>
      </c>
      <c r="AH61">
        <v>13</v>
      </c>
      <c r="AI61">
        <v>3</v>
      </c>
      <c r="AJ61">
        <v>1</v>
      </c>
      <c r="AK61">
        <v>80</v>
      </c>
      <c r="AL61">
        <v>0</v>
      </c>
      <c r="AM61">
        <v>5</v>
      </c>
      <c r="AN61">
        <v>3</v>
      </c>
      <c r="AO61">
        <v>5</v>
      </c>
      <c r="AP61">
        <v>3</v>
      </c>
      <c r="AQ61">
        <v>1</v>
      </c>
      <c r="AR61">
        <v>2</v>
      </c>
    </row>
    <row r="62" spans="1:44" x14ac:dyDescent="0.35">
      <c r="A62" t="s">
        <v>56</v>
      </c>
      <c r="B62" t="s">
        <v>45</v>
      </c>
      <c r="C62" t="s">
        <v>69</v>
      </c>
      <c r="D62" t="s">
        <v>59</v>
      </c>
      <c r="E62" t="s">
        <v>48</v>
      </c>
      <c r="F62" t="s">
        <v>72</v>
      </c>
      <c r="G62" t="s">
        <v>1341</v>
      </c>
      <c r="H62">
        <v>1650</v>
      </c>
      <c r="I62" t="s">
        <v>62</v>
      </c>
      <c r="J62" t="s">
        <v>52</v>
      </c>
      <c r="K62" t="s">
        <v>53</v>
      </c>
      <c r="L62" t="s">
        <v>56</v>
      </c>
      <c r="M62" t="s">
        <v>54</v>
      </c>
      <c r="N62">
        <v>2</v>
      </c>
      <c r="O62">
        <v>-2</v>
      </c>
      <c r="P62">
        <v>0</v>
      </c>
      <c r="Q62">
        <v>29</v>
      </c>
      <c r="R62">
        <v>0</v>
      </c>
      <c r="T62">
        <v>0</v>
      </c>
      <c r="U62">
        <v>1</v>
      </c>
      <c r="V62">
        <v>469</v>
      </c>
      <c r="W62">
        <v>10</v>
      </c>
      <c r="X62" t="s">
        <v>77</v>
      </c>
      <c r="Y62">
        <v>1</v>
      </c>
      <c r="Z62">
        <v>3</v>
      </c>
      <c r="AA62">
        <v>42</v>
      </c>
      <c r="AB62">
        <v>2</v>
      </c>
      <c r="AC62">
        <v>2</v>
      </c>
      <c r="AD62">
        <v>3</v>
      </c>
      <c r="AE62">
        <v>5869</v>
      </c>
      <c r="AF62">
        <v>23413</v>
      </c>
      <c r="AG62">
        <v>9</v>
      </c>
      <c r="AH62">
        <v>11</v>
      </c>
      <c r="AI62">
        <v>3</v>
      </c>
      <c r="AJ62">
        <v>3</v>
      </c>
      <c r="AK62">
        <v>80</v>
      </c>
      <c r="AL62">
        <v>0</v>
      </c>
      <c r="AM62">
        <v>8</v>
      </c>
      <c r="AN62">
        <v>3</v>
      </c>
      <c r="AO62">
        <v>5</v>
      </c>
      <c r="AP62">
        <v>2</v>
      </c>
      <c r="AQ62">
        <v>1</v>
      </c>
      <c r="AR62">
        <v>4</v>
      </c>
    </row>
    <row r="63" spans="1:44" x14ac:dyDescent="0.35">
      <c r="A63" t="s">
        <v>56</v>
      </c>
      <c r="B63" t="s">
        <v>45</v>
      </c>
      <c r="C63" t="s">
        <v>69</v>
      </c>
      <c r="D63" t="s">
        <v>59</v>
      </c>
      <c r="E63" t="s">
        <v>48</v>
      </c>
      <c r="F63" t="s">
        <v>106</v>
      </c>
      <c r="G63" t="s">
        <v>1340</v>
      </c>
      <c r="H63">
        <v>1924</v>
      </c>
      <c r="I63" t="s">
        <v>62</v>
      </c>
      <c r="J63" t="s">
        <v>52</v>
      </c>
      <c r="K63" t="s">
        <v>53</v>
      </c>
      <c r="L63" t="s">
        <v>56</v>
      </c>
      <c r="M63" t="s">
        <v>54</v>
      </c>
      <c r="N63">
        <v>2</v>
      </c>
      <c r="O63">
        <v>-2</v>
      </c>
      <c r="P63">
        <v>0</v>
      </c>
      <c r="Q63">
        <v>33</v>
      </c>
      <c r="R63">
        <v>0</v>
      </c>
      <c r="T63">
        <v>0</v>
      </c>
      <c r="U63">
        <v>1</v>
      </c>
      <c r="V63">
        <v>217</v>
      </c>
      <c r="W63">
        <v>10</v>
      </c>
      <c r="X63" t="s">
        <v>71</v>
      </c>
      <c r="Y63">
        <v>1</v>
      </c>
      <c r="Z63">
        <v>2</v>
      </c>
      <c r="AA63">
        <v>43</v>
      </c>
      <c r="AB63">
        <v>3</v>
      </c>
      <c r="AC63">
        <v>2</v>
      </c>
      <c r="AD63">
        <v>1</v>
      </c>
      <c r="AE63">
        <v>5487</v>
      </c>
      <c r="AF63">
        <v>10410</v>
      </c>
      <c r="AG63">
        <v>1</v>
      </c>
      <c r="AH63">
        <v>14</v>
      </c>
      <c r="AI63">
        <v>3</v>
      </c>
      <c r="AJ63">
        <v>2</v>
      </c>
      <c r="AK63">
        <v>80</v>
      </c>
      <c r="AL63">
        <v>0</v>
      </c>
      <c r="AM63">
        <v>10</v>
      </c>
      <c r="AN63">
        <v>2</v>
      </c>
      <c r="AO63">
        <v>10</v>
      </c>
      <c r="AP63">
        <v>4</v>
      </c>
      <c r="AQ63">
        <v>0</v>
      </c>
      <c r="AR63">
        <v>9</v>
      </c>
    </row>
    <row r="64" spans="1:44" x14ac:dyDescent="0.35">
      <c r="A64" t="s">
        <v>56</v>
      </c>
      <c r="B64" t="s">
        <v>45</v>
      </c>
      <c r="C64" t="s">
        <v>46</v>
      </c>
      <c r="D64" t="s">
        <v>59</v>
      </c>
      <c r="E64" t="s">
        <v>48</v>
      </c>
      <c r="F64" t="s">
        <v>106</v>
      </c>
      <c r="G64" t="s">
        <v>1338</v>
      </c>
      <c r="H64">
        <v>1975</v>
      </c>
      <c r="I64" t="s">
        <v>62</v>
      </c>
      <c r="J64" t="s">
        <v>52</v>
      </c>
      <c r="K64" t="s">
        <v>53</v>
      </c>
      <c r="L64" t="s">
        <v>56</v>
      </c>
      <c r="M64" t="s">
        <v>54</v>
      </c>
      <c r="N64">
        <v>3</v>
      </c>
      <c r="O64">
        <v>-2</v>
      </c>
      <c r="P64">
        <v>0</v>
      </c>
      <c r="Q64">
        <v>39</v>
      </c>
      <c r="R64">
        <v>0</v>
      </c>
      <c r="T64">
        <v>0</v>
      </c>
      <c r="U64">
        <v>1</v>
      </c>
      <c r="V64">
        <v>119</v>
      </c>
      <c r="W64">
        <v>15</v>
      </c>
      <c r="X64" t="s">
        <v>71</v>
      </c>
      <c r="Y64">
        <v>1</v>
      </c>
      <c r="Z64">
        <v>2</v>
      </c>
      <c r="AA64">
        <v>77</v>
      </c>
      <c r="AB64">
        <v>3</v>
      </c>
      <c r="AC64">
        <v>4</v>
      </c>
      <c r="AD64">
        <v>1</v>
      </c>
      <c r="AE64">
        <v>13341</v>
      </c>
      <c r="AF64">
        <v>25098</v>
      </c>
      <c r="AG64">
        <v>0</v>
      </c>
      <c r="AH64">
        <v>12</v>
      </c>
      <c r="AI64">
        <v>3</v>
      </c>
      <c r="AJ64">
        <v>1</v>
      </c>
      <c r="AK64">
        <v>80</v>
      </c>
      <c r="AL64">
        <v>0</v>
      </c>
      <c r="AM64">
        <v>21</v>
      </c>
      <c r="AN64">
        <v>3</v>
      </c>
      <c r="AO64">
        <v>20</v>
      </c>
      <c r="AP64">
        <v>8</v>
      </c>
      <c r="AQ64">
        <v>11</v>
      </c>
      <c r="AR64">
        <v>10</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69</v>
      </c>
      <c r="D66" t="s">
        <v>59</v>
      </c>
      <c r="E66" t="s">
        <v>48</v>
      </c>
      <c r="F66" t="s">
        <v>49</v>
      </c>
      <c r="G66" t="s">
        <v>1336</v>
      </c>
      <c r="H66">
        <v>1479</v>
      </c>
      <c r="I66" t="s">
        <v>62</v>
      </c>
      <c r="J66" t="s">
        <v>52</v>
      </c>
      <c r="K66" t="s">
        <v>64</v>
      </c>
      <c r="L66" t="s">
        <v>56</v>
      </c>
      <c r="M66" t="s">
        <v>54</v>
      </c>
      <c r="N66">
        <v>2</v>
      </c>
      <c r="O66">
        <v>-2</v>
      </c>
      <c r="P66">
        <v>0</v>
      </c>
      <c r="Q66">
        <v>30</v>
      </c>
      <c r="R66">
        <v>0</v>
      </c>
      <c r="T66">
        <v>0</v>
      </c>
      <c r="U66">
        <v>1</v>
      </c>
      <c r="V66">
        <v>1358</v>
      </c>
      <c r="W66">
        <v>16</v>
      </c>
      <c r="X66" t="s">
        <v>65</v>
      </c>
      <c r="Y66">
        <v>1</v>
      </c>
      <c r="Z66">
        <v>4</v>
      </c>
      <c r="AA66">
        <v>96</v>
      </c>
      <c r="AB66">
        <v>3</v>
      </c>
      <c r="AC66">
        <v>2</v>
      </c>
      <c r="AD66">
        <v>3</v>
      </c>
      <c r="AE66">
        <v>5301</v>
      </c>
      <c r="AF66">
        <v>2939</v>
      </c>
      <c r="AG66">
        <v>8</v>
      </c>
      <c r="AH66">
        <v>15</v>
      </c>
      <c r="AI66">
        <v>3</v>
      </c>
      <c r="AJ66">
        <v>3</v>
      </c>
      <c r="AK66">
        <v>80</v>
      </c>
      <c r="AL66">
        <v>2</v>
      </c>
      <c r="AM66">
        <v>4</v>
      </c>
      <c r="AN66">
        <v>2</v>
      </c>
      <c r="AO66">
        <v>2</v>
      </c>
      <c r="AP66">
        <v>1</v>
      </c>
      <c r="AQ66">
        <v>2</v>
      </c>
      <c r="AR66">
        <v>2</v>
      </c>
    </row>
    <row r="67" spans="1:44" x14ac:dyDescent="0.35">
      <c r="A67" t="s">
        <v>56</v>
      </c>
      <c r="B67" t="s">
        <v>45</v>
      </c>
      <c r="C67" t="s">
        <v>46</v>
      </c>
      <c r="D67" t="s">
        <v>59</v>
      </c>
      <c r="E67" t="s">
        <v>48</v>
      </c>
      <c r="F67" t="s">
        <v>49</v>
      </c>
      <c r="G67" t="s">
        <v>1335</v>
      </c>
      <c r="H67">
        <v>1995</v>
      </c>
      <c r="I67" t="s">
        <v>62</v>
      </c>
      <c r="J67" t="s">
        <v>52</v>
      </c>
      <c r="K67" t="s">
        <v>64</v>
      </c>
      <c r="L67" t="s">
        <v>56</v>
      </c>
      <c r="M67" t="s">
        <v>54</v>
      </c>
      <c r="N67">
        <v>3</v>
      </c>
      <c r="O67">
        <v>-2</v>
      </c>
      <c r="P67">
        <v>0</v>
      </c>
      <c r="Q67">
        <v>38</v>
      </c>
      <c r="R67">
        <v>0</v>
      </c>
      <c r="T67">
        <v>0</v>
      </c>
      <c r="U67">
        <v>1</v>
      </c>
      <c r="V67">
        <v>1321</v>
      </c>
      <c r="W67">
        <v>1</v>
      </c>
      <c r="X67" t="s">
        <v>71</v>
      </c>
      <c r="Y67">
        <v>1</v>
      </c>
      <c r="Z67">
        <v>4</v>
      </c>
      <c r="AA67">
        <v>86</v>
      </c>
      <c r="AB67">
        <v>3</v>
      </c>
      <c r="AC67">
        <v>2</v>
      </c>
      <c r="AD67">
        <v>2</v>
      </c>
      <c r="AE67">
        <v>4440</v>
      </c>
      <c r="AF67">
        <v>7636</v>
      </c>
      <c r="AG67">
        <v>0</v>
      </c>
      <c r="AH67">
        <v>15</v>
      </c>
      <c r="AI67">
        <v>3</v>
      </c>
      <c r="AJ67">
        <v>1</v>
      </c>
      <c r="AK67">
        <v>80</v>
      </c>
      <c r="AL67">
        <v>2</v>
      </c>
      <c r="AM67">
        <v>16</v>
      </c>
      <c r="AN67">
        <v>3</v>
      </c>
      <c r="AO67">
        <v>15</v>
      </c>
      <c r="AP67">
        <v>13</v>
      </c>
      <c r="AQ67">
        <v>5</v>
      </c>
      <c r="AR67">
        <v>8</v>
      </c>
    </row>
    <row r="68" spans="1:44" x14ac:dyDescent="0.35">
      <c r="A68" t="s">
        <v>56</v>
      </c>
      <c r="B68" t="s">
        <v>45</v>
      </c>
      <c r="C68" t="s">
        <v>46</v>
      </c>
      <c r="D68" t="s">
        <v>59</v>
      </c>
      <c r="E68" t="s">
        <v>48</v>
      </c>
      <c r="F68" t="s">
        <v>106</v>
      </c>
      <c r="G68" t="s">
        <v>1334</v>
      </c>
      <c r="H68">
        <v>1908</v>
      </c>
      <c r="I68" t="s">
        <v>62</v>
      </c>
      <c r="J68" t="s">
        <v>52</v>
      </c>
      <c r="K68" t="s">
        <v>64</v>
      </c>
      <c r="L68" t="s">
        <v>56</v>
      </c>
      <c r="M68" t="s">
        <v>54</v>
      </c>
      <c r="N68">
        <v>1</v>
      </c>
      <c r="O68">
        <v>-2</v>
      </c>
      <c r="P68">
        <v>0</v>
      </c>
      <c r="Q68">
        <v>36</v>
      </c>
      <c r="R68">
        <v>0</v>
      </c>
      <c r="T68">
        <v>0</v>
      </c>
      <c r="U68">
        <v>1</v>
      </c>
      <c r="V68">
        <v>335</v>
      </c>
      <c r="W68">
        <v>17</v>
      </c>
      <c r="X68" t="s">
        <v>55</v>
      </c>
      <c r="Y68">
        <v>1</v>
      </c>
      <c r="Z68">
        <v>3</v>
      </c>
      <c r="AA68">
        <v>33</v>
      </c>
      <c r="AB68">
        <v>2</v>
      </c>
      <c r="AC68">
        <v>2</v>
      </c>
      <c r="AD68">
        <v>2</v>
      </c>
      <c r="AE68">
        <v>5507</v>
      </c>
      <c r="AF68">
        <v>16822</v>
      </c>
      <c r="AG68">
        <v>2</v>
      </c>
      <c r="AH68">
        <v>16</v>
      </c>
      <c r="AI68">
        <v>3</v>
      </c>
      <c r="AJ68">
        <v>3</v>
      </c>
      <c r="AK68">
        <v>80</v>
      </c>
      <c r="AL68">
        <v>2</v>
      </c>
      <c r="AM68">
        <v>12</v>
      </c>
      <c r="AN68">
        <v>1</v>
      </c>
      <c r="AO68">
        <v>4</v>
      </c>
      <c r="AP68">
        <v>2</v>
      </c>
      <c r="AQ68">
        <v>1</v>
      </c>
      <c r="AR68">
        <v>3</v>
      </c>
    </row>
    <row r="69" spans="1:44" x14ac:dyDescent="0.35">
      <c r="A69" t="s">
        <v>56</v>
      </c>
      <c r="B69" t="s">
        <v>45</v>
      </c>
      <c r="C69" t="s">
        <v>46</v>
      </c>
      <c r="D69" t="s">
        <v>59</v>
      </c>
      <c r="E69" t="s">
        <v>48</v>
      </c>
      <c r="F69" t="s">
        <v>106</v>
      </c>
      <c r="G69" t="s">
        <v>1333</v>
      </c>
      <c r="H69">
        <v>1787</v>
      </c>
      <c r="I69" t="s">
        <v>62</v>
      </c>
      <c r="J69" t="s">
        <v>52</v>
      </c>
      <c r="K69" t="s">
        <v>64</v>
      </c>
      <c r="L69" t="s">
        <v>56</v>
      </c>
      <c r="M69" t="s">
        <v>54</v>
      </c>
      <c r="N69">
        <v>2</v>
      </c>
      <c r="O69">
        <v>-2</v>
      </c>
      <c r="P69">
        <v>0</v>
      </c>
      <c r="Q69">
        <v>37</v>
      </c>
      <c r="R69">
        <v>0</v>
      </c>
      <c r="T69">
        <v>0</v>
      </c>
      <c r="U69">
        <v>1</v>
      </c>
      <c r="V69">
        <v>589</v>
      </c>
      <c r="W69">
        <v>9</v>
      </c>
      <c r="X69" t="s">
        <v>55</v>
      </c>
      <c r="Y69">
        <v>1</v>
      </c>
      <c r="Z69">
        <v>2</v>
      </c>
      <c r="AA69">
        <v>46</v>
      </c>
      <c r="AB69">
        <v>2</v>
      </c>
      <c r="AC69">
        <v>2</v>
      </c>
      <c r="AD69">
        <v>2</v>
      </c>
      <c r="AE69">
        <v>4189</v>
      </c>
      <c r="AF69">
        <v>8800</v>
      </c>
      <c r="AG69">
        <v>1</v>
      </c>
      <c r="AH69">
        <v>14</v>
      </c>
      <c r="AI69">
        <v>3</v>
      </c>
      <c r="AJ69">
        <v>1</v>
      </c>
      <c r="AK69">
        <v>80</v>
      </c>
      <c r="AL69">
        <v>2</v>
      </c>
      <c r="AM69">
        <v>5</v>
      </c>
      <c r="AN69">
        <v>3</v>
      </c>
      <c r="AO69">
        <v>5</v>
      </c>
      <c r="AP69">
        <v>2</v>
      </c>
      <c r="AQ69">
        <v>0</v>
      </c>
      <c r="AR69">
        <v>3</v>
      </c>
    </row>
    <row r="70" spans="1:44" x14ac:dyDescent="0.35">
      <c r="A70" t="s">
        <v>56</v>
      </c>
      <c r="B70" t="s">
        <v>45</v>
      </c>
      <c r="C70" t="s">
        <v>46</v>
      </c>
      <c r="D70" t="s">
        <v>59</v>
      </c>
      <c r="E70" t="s">
        <v>48</v>
      </c>
      <c r="F70" t="s">
        <v>72</v>
      </c>
      <c r="G70" t="s">
        <v>1332</v>
      </c>
      <c r="H70">
        <v>1588</v>
      </c>
      <c r="I70" t="s">
        <v>62</v>
      </c>
      <c r="J70" t="s">
        <v>52</v>
      </c>
      <c r="K70" t="s">
        <v>64</v>
      </c>
      <c r="L70" t="s">
        <v>56</v>
      </c>
      <c r="M70" t="s">
        <v>54</v>
      </c>
      <c r="N70">
        <v>3</v>
      </c>
      <c r="O70">
        <v>-2</v>
      </c>
      <c r="P70">
        <v>0</v>
      </c>
      <c r="Q70">
        <v>39</v>
      </c>
      <c r="R70">
        <v>0</v>
      </c>
      <c r="T70">
        <v>0</v>
      </c>
      <c r="U70">
        <v>1</v>
      </c>
      <c r="V70">
        <v>1462</v>
      </c>
      <c r="W70">
        <v>6</v>
      </c>
      <c r="X70" t="s">
        <v>77</v>
      </c>
      <c r="Y70">
        <v>1</v>
      </c>
      <c r="Z70">
        <v>4</v>
      </c>
      <c r="AA70">
        <v>38</v>
      </c>
      <c r="AB70">
        <v>4</v>
      </c>
      <c r="AC70">
        <v>3</v>
      </c>
      <c r="AD70">
        <v>3</v>
      </c>
      <c r="AE70">
        <v>8237</v>
      </c>
      <c r="AF70">
        <v>4658</v>
      </c>
      <c r="AG70">
        <v>2</v>
      </c>
      <c r="AH70">
        <v>11</v>
      </c>
      <c r="AI70">
        <v>3</v>
      </c>
      <c r="AJ70">
        <v>1</v>
      </c>
      <c r="AK70">
        <v>80</v>
      </c>
      <c r="AL70">
        <v>1</v>
      </c>
      <c r="AM70">
        <v>11</v>
      </c>
      <c r="AN70">
        <v>3</v>
      </c>
      <c r="AO70">
        <v>7</v>
      </c>
      <c r="AP70">
        <v>6</v>
      </c>
      <c r="AQ70">
        <v>7</v>
      </c>
      <c r="AR70">
        <v>6</v>
      </c>
    </row>
    <row r="71" spans="1:44" x14ac:dyDescent="0.35">
      <c r="A71" t="s">
        <v>56</v>
      </c>
      <c r="B71" t="s">
        <v>45</v>
      </c>
      <c r="C71" t="s">
        <v>69</v>
      </c>
      <c r="D71" t="s">
        <v>59</v>
      </c>
      <c r="E71" t="s">
        <v>48</v>
      </c>
      <c r="F71" t="s">
        <v>106</v>
      </c>
      <c r="G71" t="s">
        <v>1331</v>
      </c>
      <c r="H71">
        <v>1446</v>
      </c>
      <c r="I71" t="s">
        <v>62</v>
      </c>
      <c r="J71" t="s">
        <v>52</v>
      </c>
      <c r="K71" t="s">
        <v>64</v>
      </c>
      <c r="L71" t="s">
        <v>56</v>
      </c>
      <c r="M71" t="s">
        <v>54</v>
      </c>
      <c r="N71">
        <v>3</v>
      </c>
      <c r="O71">
        <v>-2</v>
      </c>
      <c r="P71">
        <v>0</v>
      </c>
      <c r="Q71">
        <v>32</v>
      </c>
      <c r="R71">
        <v>0</v>
      </c>
      <c r="T71">
        <v>0</v>
      </c>
      <c r="U71">
        <v>1</v>
      </c>
      <c r="V71">
        <v>601</v>
      </c>
      <c r="W71">
        <v>7</v>
      </c>
      <c r="X71" t="s">
        <v>134</v>
      </c>
      <c r="Y71">
        <v>1</v>
      </c>
      <c r="Z71">
        <v>4</v>
      </c>
      <c r="AA71">
        <v>97</v>
      </c>
      <c r="AB71">
        <v>3</v>
      </c>
      <c r="AC71">
        <v>2</v>
      </c>
      <c r="AD71">
        <v>2</v>
      </c>
      <c r="AE71">
        <v>9204</v>
      </c>
      <c r="AF71">
        <v>23343</v>
      </c>
      <c r="AG71">
        <v>4</v>
      </c>
      <c r="AH71">
        <v>12</v>
      </c>
      <c r="AI71">
        <v>3</v>
      </c>
      <c r="AJ71">
        <v>3</v>
      </c>
      <c r="AK71">
        <v>80</v>
      </c>
      <c r="AL71">
        <v>1</v>
      </c>
      <c r="AM71">
        <v>7</v>
      </c>
      <c r="AN71">
        <v>2</v>
      </c>
      <c r="AO71">
        <v>4</v>
      </c>
      <c r="AP71">
        <v>3</v>
      </c>
      <c r="AQ71">
        <v>0</v>
      </c>
      <c r="AR71">
        <v>3</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48</v>
      </c>
      <c r="F73" t="s">
        <v>49</v>
      </c>
      <c r="G73" t="s">
        <v>1329</v>
      </c>
      <c r="H73">
        <v>1739</v>
      </c>
      <c r="I73" t="s">
        <v>62</v>
      </c>
      <c r="J73" t="s">
        <v>52</v>
      </c>
      <c r="K73" t="s">
        <v>64</v>
      </c>
      <c r="L73" t="s">
        <v>56</v>
      </c>
      <c r="M73" t="s">
        <v>54</v>
      </c>
      <c r="N73">
        <v>2</v>
      </c>
      <c r="O73">
        <v>-2</v>
      </c>
      <c r="P73">
        <v>0</v>
      </c>
      <c r="Q73">
        <v>32</v>
      </c>
      <c r="R73">
        <v>0</v>
      </c>
      <c r="T73">
        <v>0</v>
      </c>
      <c r="U73">
        <v>1</v>
      </c>
      <c r="V73">
        <v>371</v>
      </c>
      <c r="W73">
        <v>19</v>
      </c>
      <c r="X73" t="s">
        <v>77</v>
      </c>
      <c r="Y73">
        <v>1</v>
      </c>
      <c r="Z73">
        <v>4</v>
      </c>
      <c r="AA73">
        <v>80</v>
      </c>
      <c r="AB73">
        <v>1</v>
      </c>
      <c r="AC73">
        <v>3</v>
      </c>
      <c r="AD73">
        <v>3</v>
      </c>
      <c r="AE73">
        <v>9610</v>
      </c>
      <c r="AF73">
        <v>3840</v>
      </c>
      <c r="AG73">
        <v>3</v>
      </c>
      <c r="AH73">
        <v>13</v>
      </c>
      <c r="AI73">
        <v>3</v>
      </c>
      <c r="AJ73">
        <v>3</v>
      </c>
      <c r="AK73">
        <v>80</v>
      </c>
      <c r="AL73">
        <v>1</v>
      </c>
      <c r="AM73">
        <v>10</v>
      </c>
      <c r="AN73">
        <v>1</v>
      </c>
      <c r="AO73">
        <v>4</v>
      </c>
      <c r="AP73">
        <v>3</v>
      </c>
      <c r="AQ73">
        <v>0</v>
      </c>
      <c r="AR73">
        <v>2</v>
      </c>
    </row>
    <row r="74" spans="1:44" x14ac:dyDescent="0.35">
      <c r="A74" t="s">
        <v>56</v>
      </c>
      <c r="B74" t="s">
        <v>45</v>
      </c>
      <c r="C74" t="s">
        <v>46</v>
      </c>
      <c r="D74" t="s">
        <v>59</v>
      </c>
      <c r="E74" t="s">
        <v>48</v>
      </c>
      <c r="F74" t="s">
        <v>49</v>
      </c>
      <c r="G74" t="s">
        <v>1328</v>
      </c>
      <c r="H74">
        <v>1582</v>
      </c>
      <c r="I74" t="s">
        <v>62</v>
      </c>
      <c r="J74" t="s">
        <v>52</v>
      </c>
      <c r="K74" t="s">
        <v>64</v>
      </c>
      <c r="L74" t="s">
        <v>56</v>
      </c>
      <c r="M74" t="s">
        <v>54</v>
      </c>
      <c r="N74">
        <v>3</v>
      </c>
      <c r="O74">
        <v>-2</v>
      </c>
      <c r="P74">
        <v>0</v>
      </c>
      <c r="Q74">
        <v>38</v>
      </c>
      <c r="R74">
        <v>0</v>
      </c>
      <c r="T74">
        <v>0</v>
      </c>
      <c r="U74">
        <v>1</v>
      </c>
      <c r="V74">
        <v>1245</v>
      </c>
      <c r="W74">
        <v>14</v>
      </c>
      <c r="X74" t="s">
        <v>77</v>
      </c>
      <c r="Y74">
        <v>1</v>
      </c>
      <c r="Z74">
        <v>3</v>
      </c>
      <c r="AA74">
        <v>80</v>
      </c>
      <c r="AB74">
        <v>3</v>
      </c>
      <c r="AC74">
        <v>2</v>
      </c>
      <c r="AD74">
        <v>2</v>
      </c>
      <c r="AE74">
        <v>9924</v>
      </c>
      <c r="AF74">
        <v>12355</v>
      </c>
      <c r="AG74">
        <v>0</v>
      </c>
      <c r="AH74">
        <v>11</v>
      </c>
      <c r="AI74">
        <v>3</v>
      </c>
      <c r="AJ74">
        <v>4</v>
      </c>
      <c r="AK74">
        <v>80</v>
      </c>
      <c r="AL74">
        <v>1</v>
      </c>
      <c r="AM74">
        <v>10</v>
      </c>
      <c r="AN74">
        <v>3</v>
      </c>
      <c r="AO74">
        <v>9</v>
      </c>
      <c r="AP74">
        <v>8</v>
      </c>
      <c r="AQ74">
        <v>7</v>
      </c>
      <c r="AR74">
        <v>7</v>
      </c>
    </row>
    <row r="75" spans="1:44" x14ac:dyDescent="0.35">
      <c r="A75" t="s">
        <v>56</v>
      </c>
      <c r="B75" t="s">
        <v>45</v>
      </c>
      <c r="C75" t="s">
        <v>69</v>
      </c>
      <c r="D75" t="s">
        <v>59</v>
      </c>
      <c r="E75" t="s">
        <v>48</v>
      </c>
      <c r="F75" t="s">
        <v>113</v>
      </c>
      <c r="G75" t="s">
        <v>1327</v>
      </c>
      <c r="H75">
        <v>1568</v>
      </c>
      <c r="I75" t="s">
        <v>62</v>
      </c>
      <c r="J75" t="s">
        <v>52</v>
      </c>
      <c r="K75" t="s">
        <v>64</v>
      </c>
      <c r="L75" t="s">
        <v>56</v>
      </c>
      <c r="M75" t="s">
        <v>54</v>
      </c>
      <c r="N75">
        <v>3</v>
      </c>
      <c r="O75">
        <v>-2</v>
      </c>
      <c r="P75">
        <v>0</v>
      </c>
      <c r="Q75">
        <v>30</v>
      </c>
      <c r="R75">
        <v>0</v>
      </c>
      <c r="T75">
        <v>0</v>
      </c>
      <c r="U75">
        <v>1</v>
      </c>
      <c r="V75">
        <v>1288</v>
      </c>
      <c r="W75">
        <v>29</v>
      </c>
      <c r="X75" t="s">
        <v>71</v>
      </c>
      <c r="Y75">
        <v>1</v>
      </c>
      <c r="Z75">
        <v>4</v>
      </c>
      <c r="AA75">
        <v>33</v>
      </c>
      <c r="AB75">
        <v>3</v>
      </c>
      <c r="AC75">
        <v>3</v>
      </c>
      <c r="AD75">
        <v>4</v>
      </c>
      <c r="AE75">
        <v>9250</v>
      </c>
      <c r="AF75">
        <v>17799</v>
      </c>
      <c r="AG75">
        <v>3</v>
      </c>
      <c r="AH75">
        <v>12</v>
      </c>
      <c r="AI75">
        <v>3</v>
      </c>
      <c r="AJ75">
        <v>2</v>
      </c>
      <c r="AK75">
        <v>80</v>
      </c>
      <c r="AL75">
        <v>1</v>
      </c>
      <c r="AM75">
        <v>9</v>
      </c>
      <c r="AN75">
        <v>3</v>
      </c>
      <c r="AO75">
        <v>4</v>
      </c>
      <c r="AP75">
        <v>2</v>
      </c>
      <c r="AQ75">
        <v>1</v>
      </c>
      <c r="AR75">
        <v>3</v>
      </c>
    </row>
    <row r="76" spans="1:44" x14ac:dyDescent="0.35">
      <c r="A76" t="s">
        <v>56</v>
      </c>
      <c r="B76" t="s">
        <v>45</v>
      </c>
      <c r="C76" t="s">
        <v>46</v>
      </c>
      <c r="D76" t="s">
        <v>59</v>
      </c>
      <c r="E76" t="s">
        <v>48</v>
      </c>
      <c r="F76" t="s">
        <v>72</v>
      </c>
      <c r="G76" t="s">
        <v>1326</v>
      </c>
      <c r="H76">
        <v>1945</v>
      </c>
      <c r="I76" t="s">
        <v>62</v>
      </c>
      <c r="J76" t="s">
        <v>52</v>
      </c>
      <c r="K76" t="s">
        <v>64</v>
      </c>
      <c r="L76" t="s">
        <v>56</v>
      </c>
      <c r="M76" t="s">
        <v>54</v>
      </c>
      <c r="N76">
        <v>2</v>
      </c>
      <c r="O76">
        <v>-2</v>
      </c>
      <c r="P76">
        <v>0</v>
      </c>
      <c r="Q76">
        <v>35</v>
      </c>
      <c r="R76">
        <v>0</v>
      </c>
      <c r="T76">
        <v>0</v>
      </c>
      <c r="U76">
        <v>1</v>
      </c>
      <c r="V76">
        <v>682</v>
      </c>
      <c r="W76">
        <v>18</v>
      </c>
      <c r="X76" t="s">
        <v>71</v>
      </c>
      <c r="Y76">
        <v>1</v>
      </c>
      <c r="Z76">
        <v>2</v>
      </c>
      <c r="AA76">
        <v>71</v>
      </c>
      <c r="AB76">
        <v>3</v>
      </c>
      <c r="AC76">
        <v>2</v>
      </c>
      <c r="AD76">
        <v>1</v>
      </c>
      <c r="AE76">
        <v>5561</v>
      </c>
      <c r="AF76">
        <v>15975</v>
      </c>
      <c r="AG76">
        <v>0</v>
      </c>
      <c r="AH76">
        <v>16</v>
      </c>
      <c r="AI76">
        <v>3</v>
      </c>
      <c r="AJ76">
        <v>4</v>
      </c>
      <c r="AK76">
        <v>80</v>
      </c>
      <c r="AL76">
        <v>1</v>
      </c>
      <c r="AM76">
        <v>6</v>
      </c>
      <c r="AN76">
        <v>1</v>
      </c>
      <c r="AO76">
        <v>5</v>
      </c>
      <c r="AP76">
        <v>3</v>
      </c>
      <c r="AQ76">
        <v>0</v>
      </c>
      <c r="AR76">
        <v>4</v>
      </c>
    </row>
    <row r="77" spans="1:44" x14ac:dyDescent="0.35">
      <c r="A77" t="s">
        <v>56</v>
      </c>
      <c r="B77" t="s">
        <v>45</v>
      </c>
      <c r="C77" t="s">
        <v>69</v>
      </c>
      <c r="D77" t="s">
        <v>59</v>
      </c>
      <c r="E77" t="s">
        <v>48</v>
      </c>
      <c r="F77" t="s">
        <v>113</v>
      </c>
      <c r="G77" t="s">
        <v>1324</v>
      </c>
      <c r="H77">
        <v>1749</v>
      </c>
      <c r="I77" t="s">
        <v>62</v>
      </c>
      <c r="J77" t="s">
        <v>52</v>
      </c>
      <c r="K77" t="s">
        <v>64</v>
      </c>
      <c r="L77" t="s">
        <v>56</v>
      </c>
      <c r="M77" t="s">
        <v>54</v>
      </c>
      <c r="N77">
        <v>3</v>
      </c>
      <c r="O77">
        <v>-2</v>
      </c>
      <c r="P77">
        <v>0</v>
      </c>
      <c r="Q77">
        <v>31</v>
      </c>
      <c r="R77">
        <v>0</v>
      </c>
      <c r="T77">
        <v>0</v>
      </c>
      <c r="U77">
        <v>1</v>
      </c>
      <c r="V77">
        <v>1003</v>
      </c>
      <c r="W77">
        <v>5</v>
      </c>
      <c r="X77" t="s">
        <v>77</v>
      </c>
      <c r="Y77">
        <v>1</v>
      </c>
      <c r="Z77">
        <v>4</v>
      </c>
      <c r="AA77">
        <v>51</v>
      </c>
      <c r="AB77">
        <v>3</v>
      </c>
      <c r="AC77">
        <v>2</v>
      </c>
      <c r="AD77">
        <v>4</v>
      </c>
      <c r="AE77">
        <v>8346</v>
      </c>
      <c r="AF77">
        <v>20943</v>
      </c>
      <c r="AG77">
        <v>1</v>
      </c>
      <c r="AH77">
        <v>19</v>
      </c>
      <c r="AI77">
        <v>3</v>
      </c>
      <c r="AJ77">
        <v>3</v>
      </c>
      <c r="AK77">
        <v>80</v>
      </c>
      <c r="AL77">
        <v>1</v>
      </c>
      <c r="AM77">
        <v>6</v>
      </c>
      <c r="AN77">
        <v>3</v>
      </c>
      <c r="AO77">
        <v>5</v>
      </c>
      <c r="AP77">
        <v>2</v>
      </c>
      <c r="AQ77">
        <v>0</v>
      </c>
      <c r="AR77">
        <v>2</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69</v>
      </c>
      <c r="D79" t="s">
        <v>59</v>
      </c>
      <c r="E79" t="s">
        <v>48</v>
      </c>
      <c r="F79" t="s">
        <v>49</v>
      </c>
      <c r="G79" t="s">
        <v>1322</v>
      </c>
      <c r="H79">
        <v>1560</v>
      </c>
      <c r="I79" t="s">
        <v>62</v>
      </c>
      <c r="J79" t="s">
        <v>52</v>
      </c>
      <c r="K79" t="s">
        <v>64</v>
      </c>
      <c r="L79" t="s">
        <v>56</v>
      </c>
      <c r="M79" t="s">
        <v>54</v>
      </c>
      <c r="N79">
        <v>6</v>
      </c>
      <c r="O79">
        <v>-2</v>
      </c>
      <c r="P79">
        <v>0</v>
      </c>
      <c r="Q79">
        <v>33</v>
      </c>
      <c r="R79">
        <v>0</v>
      </c>
      <c r="T79">
        <v>0</v>
      </c>
      <c r="U79">
        <v>1</v>
      </c>
      <c r="V79">
        <v>1242</v>
      </c>
      <c r="W79">
        <v>8</v>
      </c>
      <c r="X79" t="s">
        <v>71</v>
      </c>
      <c r="Y79">
        <v>1</v>
      </c>
      <c r="Z79">
        <v>1</v>
      </c>
      <c r="AA79">
        <v>46</v>
      </c>
      <c r="AB79">
        <v>3</v>
      </c>
      <c r="AC79">
        <v>2</v>
      </c>
      <c r="AD79">
        <v>1</v>
      </c>
      <c r="AE79">
        <v>6392</v>
      </c>
      <c r="AF79">
        <v>10589</v>
      </c>
      <c r="AG79">
        <v>2</v>
      </c>
      <c r="AH79">
        <v>13</v>
      </c>
      <c r="AI79">
        <v>3</v>
      </c>
      <c r="AJ79">
        <v>4</v>
      </c>
      <c r="AK79">
        <v>80</v>
      </c>
      <c r="AL79">
        <v>1</v>
      </c>
      <c r="AM79">
        <v>8</v>
      </c>
      <c r="AN79">
        <v>1</v>
      </c>
      <c r="AO79">
        <v>2</v>
      </c>
      <c r="AP79">
        <v>2</v>
      </c>
      <c r="AQ79">
        <v>2</v>
      </c>
      <c r="AR79">
        <v>2</v>
      </c>
    </row>
    <row r="80" spans="1:44" x14ac:dyDescent="0.35">
      <c r="A80" t="s">
        <v>56</v>
      </c>
      <c r="B80" t="s">
        <v>45</v>
      </c>
      <c r="C80" t="s">
        <v>46</v>
      </c>
      <c r="D80" t="s">
        <v>59</v>
      </c>
      <c r="E80" t="s">
        <v>48</v>
      </c>
      <c r="F80" t="s">
        <v>72</v>
      </c>
      <c r="G80" t="s">
        <v>1321</v>
      </c>
      <c r="H80">
        <v>1548</v>
      </c>
      <c r="I80" t="s">
        <v>62</v>
      </c>
      <c r="J80" t="s">
        <v>52</v>
      </c>
      <c r="K80" t="s">
        <v>64</v>
      </c>
      <c r="L80" t="s">
        <v>56</v>
      </c>
      <c r="M80" t="s">
        <v>54</v>
      </c>
      <c r="N80">
        <v>5</v>
      </c>
      <c r="O80">
        <v>-2</v>
      </c>
      <c r="P80">
        <v>0</v>
      </c>
      <c r="Q80">
        <v>40</v>
      </c>
      <c r="R80">
        <v>0</v>
      </c>
      <c r="T80">
        <v>0</v>
      </c>
      <c r="U80">
        <v>1</v>
      </c>
      <c r="V80">
        <v>1342</v>
      </c>
      <c r="W80">
        <v>9</v>
      </c>
      <c r="X80" t="s">
        <v>55</v>
      </c>
      <c r="Y80">
        <v>1</v>
      </c>
      <c r="Z80">
        <v>1</v>
      </c>
      <c r="AA80">
        <v>47</v>
      </c>
      <c r="AB80">
        <v>3</v>
      </c>
      <c r="AC80">
        <v>2</v>
      </c>
      <c r="AD80">
        <v>1</v>
      </c>
      <c r="AE80">
        <v>5473</v>
      </c>
      <c r="AF80">
        <v>19345</v>
      </c>
      <c r="AG80">
        <v>0</v>
      </c>
      <c r="AH80">
        <v>12</v>
      </c>
      <c r="AI80">
        <v>3</v>
      </c>
      <c r="AJ80">
        <v>4</v>
      </c>
      <c r="AK80">
        <v>80</v>
      </c>
      <c r="AL80">
        <v>0</v>
      </c>
      <c r="AM80">
        <v>9</v>
      </c>
      <c r="AN80">
        <v>4</v>
      </c>
      <c r="AO80">
        <v>8</v>
      </c>
      <c r="AP80">
        <v>4</v>
      </c>
      <c r="AQ80">
        <v>7</v>
      </c>
      <c r="AR80">
        <v>1</v>
      </c>
    </row>
    <row r="81" spans="1:44" x14ac:dyDescent="0.35">
      <c r="A81" t="s">
        <v>56</v>
      </c>
      <c r="B81" t="s">
        <v>45</v>
      </c>
      <c r="C81" t="s">
        <v>58</v>
      </c>
      <c r="D81" t="s">
        <v>59</v>
      </c>
      <c r="E81" t="s">
        <v>48</v>
      </c>
      <c r="F81" t="s">
        <v>106</v>
      </c>
      <c r="G81" t="s">
        <v>1320</v>
      </c>
      <c r="H81">
        <v>1466</v>
      </c>
      <c r="I81" t="s">
        <v>62</v>
      </c>
      <c r="J81" t="s">
        <v>52</v>
      </c>
      <c r="K81" t="s">
        <v>79</v>
      </c>
      <c r="L81" t="s">
        <v>56</v>
      </c>
      <c r="M81" t="s">
        <v>54</v>
      </c>
      <c r="N81">
        <v>3</v>
      </c>
      <c r="O81">
        <v>-2</v>
      </c>
      <c r="P81">
        <v>0</v>
      </c>
      <c r="Q81">
        <v>48</v>
      </c>
      <c r="R81">
        <v>0</v>
      </c>
      <c r="T81">
        <v>0</v>
      </c>
      <c r="U81">
        <v>1</v>
      </c>
      <c r="V81">
        <v>1221</v>
      </c>
      <c r="W81">
        <v>7</v>
      </c>
      <c r="X81" t="s">
        <v>77</v>
      </c>
      <c r="Y81">
        <v>1</v>
      </c>
      <c r="Z81">
        <v>3</v>
      </c>
      <c r="AA81">
        <v>96</v>
      </c>
      <c r="AB81">
        <v>3</v>
      </c>
      <c r="AC81">
        <v>2</v>
      </c>
      <c r="AD81">
        <v>2</v>
      </c>
      <c r="AE81">
        <v>5486</v>
      </c>
      <c r="AF81">
        <v>24795</v>
      </c>
      <c r="AG81">
        <v>4</v>
      </c>
      <c r="AH81">
        <v>11</v>
      </c>
      <c r="AI81">
        <v>3</v>
      </c>
      <c r="AJ81">
        <v>1</v>
      </c>
      <c r="AK81">
        <v>80</v>
      </c>
      <c r="AL81">
        <v>3</v>
      </c>
      <c r="AM81">
        <v>15</v>
      </c>
      <c r="AN81">
        <v>3</v>
      </c>
      <c r="AO81">
        <v>2</v>
      </c>
      <c r="AP81">
        <v>2</v>
      </c>
      <c r="AQ81">
        <v>2</v>
      </c>
      <c r="AR81">
        <v>2</v>
      </c>
    </row>
    <row r="82" spans="1:44" x14ac:dyDescent="0.35">
      <c r="A82" t="s">
        <v>56</v>
      </c>
      <c r="B82" t="s">
        <v>45</v>
      </c>
      <c r="C82" t="s">
        <v>69</v>
      </c>
      <c r="D82" t="s">
        <v>59</v>
      </c>
      <c r="E82" t="s">
        <v>48</v>
      </c>
      <c r="F82" t="s">
        <v>72</v>
      </c>
      <c r="G82" t="s">
        <v>1319</v>
      </c>
      <c r="H82">
        <v>1670</v>
      </c>
      <c r="I82" t="s">
        <v>62</v>
      </c>
      <c r="J82" t="s">
        <v>52</v>
      </c>
      <c r="K82" t="s">
        <v>79</v>
      </c>
      <c r="L82" t="s">
        <v>56</v>
      </c>
      <c r="M82" t="s">
        <v>54</v>
      </c>
      <c r="N82">
        <v>5</v>
      </c>
      <c r="O82">
        <v>-2</v>
      </c>
      <c r="P82">
        <v>0</v>
      </c>
      <c r="Q82">
        <v>33</v>
      </c>
      <c r="R82">
        <v>0</v>
      </c>
      <c r="T82">
        <v>0</v>
      </c>
      <c r="U82">
        <v>1</v>
      </c>
      <c r="V82">
        <v>392</v>
      </c>
      <c r="W82">
        <v>2</v>
      </c>
      <c r="X82" t="s">
        <v>71</v>
      </c>
      <c r="Y82">
        <v>1</v>
      </c>
      <c r="Z82">
        <v>4</v>
      </c>
      <c r="AA82">
        <v>93</v>
      </c>
      <c r="AB82">
        <v>3</v>
      </c>
      <c r="AC82">
        <v>2</v>
      </c>
      <c r="AD82">
        <v>4</v>
      </c>
      <c r="AE82">
        <v>5505</v>
      </c>
      <c r="AF82">
        <v>3921</v>
      </c>
      <c r="AG82">
        <v>1</v>
      </c>
      <c r="AH82">
        <v>14</v>
      </c>
      <c r="AI82">
        <v>3</v>
      </c>
      <c r="AJ82">
        <v>3</v>
      </c>
      <c r="AK82">
        <v>80</v>
      </c>
      <c r="AL82">
        <v>2</v>
      </c>
      <c r="AM82">
        <v>6</v>
      </c>
      <c r="AN82">
        <v>3</v>
      </c>
      <c r="AO82">
        <v>6</v>
      </c>
      <c r="AP82">
        <v>2</v>
      </c>
      <c r="AQ82">
        <v>0</v>
      </c>
      <c r="AR82">
        <v>4</v>
      </c>
    </row>
    <row r="83" spans="1:44" x14ac:dyDescent="0.35">
      <c r="A83" t="s">
        <v>56</v>
      </c>
      <c r="B83" t="s">
        <v>45</v>
      </c>
      <c r="C83" t="s">
        <v>69</v>
      </c>
      <c r="D83" t="s">
        <v>59</v>
      </c>
      <c r="E83" t="s">
        <v>48</v>
      </c>
      <c r="F83" t="s">
        <v>49</v>
      </c>
      <c r="G83" t="s">
        <v>1318</v>
      </c>
      <c r="H83">
        <v>1497</v>
      </c>
      <c r="I83" t="s">
        <v>62</v>
      </c>
      <c r="J83" t="s">
        <v>52</v>
      </c>
      <c r="K83" t="s">
        <v>79</v>
      </c>
      <c r="L83" t="s">
        <v>56</v>
      </c>
      <c r="M83" t="s">
        <v>54</v>
      </c>
      <c r="N83">
        <v>3</v>
      </c>
      <c r="O83">
        <v>-2</v>
      </c>
      <c r="P83">
        <v>0</v>
      </c>
      <c r="Q83">
        <v>29</v>
      </c>
      <c r="R83">
        <v>0</v>
      </c>
      <c r="T83">
        <v>0</v>
      </c>
      <c r="U83">
        <v>1</v>
      </c>
      <c r="V83">
        <v>1246</v>
      </c>
      <c r="W83">
        <v>19</v>
      </c>
      <c r="X83" t="s">
        <v>77</v>
      </c>
      <c r="Y83">
        <v>1</v>
      </c>
      <c r="Z83">
        <v>3</v>
      </c>
      <c r="AA83">
        <v>77</v>
      </c>
      <c r="AB83">
        <v>2</v>
      </c>
      <c r="AC83">
        <v>2</v>
      </c>
      <c r="AD83">
        <v>3</v>
      </c>
      <c r="AE83">
        <v>8620</v>
      </c>
      <c r="AF83">
        <v>23757</v>
      </c>
      <c r="AG83">
        <v>1</v>
      </c>
      <c r="AH83">
        <v>14</v>
      </c>
      <c r="AI83">
        <v>3</v>
      </c>
      <c r="AJ83">
        <v>3</v>
      </c>
      <c r="AK83">
        <v>80</v>
      </c>
      <c r="AL83">
        <v>2</v>
      </c>
      <c r="AM83">
        <v>10</v>
      </c>
      <c r="AN83">
        <v>3</v>
      </c>
      <c r="AO83">
        <v>10</v>
      </c>
      <c r="AP83">
        <v>7</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45</v>
      </c>
      <c r="C85" t="s">
        <v>69</v>
      </c>
      <c r="D85" t="s">
        <v>59</v>
      </c>
      <c r="E85" t="s">
        <v>48</v>
      </c>
      <c r="F85" t="s">
        <v>72</v>
      </c>
      <c r="G85" t="s">
        <v>1317</v>
      </c>
      <c r="H85">
        <v>1951</v>
      </c>
      <c r="I85" t="s">
        <v>62</v>
      </c>
      <c r="J85" t="s">
        <v>52</v>
      </c>
      <c r="K85" t="s">
        <v>79</v>
      </c>
      <c r="L85" t="s">
        <v>56</v>
      </c>
      <c r="M85" t="s">
        <v>54</v>
      </c>
      <c r="N85">
        <v>2</v>
      </c>
      <c r="O85">
        <v>-2</v>
      </c>
      <c r="P85">
        <v>0</v>
      </c>
      <c r="Q85">
        <v>34</v>
      </c>
      <c r="R85">
        <v>0</v>
      </c>
      <c r="T85">
        <v>0</v>
      </c>
      <c r="U85">
        <v>1</v>
      </c>
      <c r="V85">
        <v>1239</v>
      </c>
      <c r="W85">
        <v>13</v>
      </c>
      <c r="X85" t="s">
        <v>71</v>
      </c>
      <c r="Y85">
        <v>1</v>
      </c>
      <c r="Z85">
        <v>4</v>
      </c>
      <c r="AA85">
        <v>39</v>
      </c>
      <c r="AB85">
        <v>3</v>
      </c>
      <c r="AC85">
        <v>3</v>
      </c>
      <c r="AD85">
        <v>3</v>
      </c>
      <c r="AE85">
        <v>8628</v>
      </c>
      <c r="AF85">
        <v>22914</v>
      </c>
      <c r="AG85">
        <v>1</v>
      </c>
      <c r="AH85">
        <v>18</v>
      </c>
      <c r="AI85">
        <v>3</v>
      </c>
      <c r="AJ85">
        <v>3</v>
      </c>
      <c r="AK85">
        <v>80</v>
      </c>
      <c r="AL85">
        <v>1</v>
      </c>
      <c r="AM85">
        <v>9</v>
      </c>
      <c r="AN85">
        <v>2</v>
      </c>
      <c r="AO85">
        <v>8</v>
      </c>
      <c r="AP85">
        <v>7</v>
      </c>
      <c r="AQ85">
        <v>1</v>
      </c>
      <c r="AR85">
        <v>1</v>
      </c>
    </row>
    <row r="86" spans="1:44" x14ac:dyDescent="0.35">
      <c r="A86" t="s">
        <v>56</v>
      </c>
      <c r="B86" t="s">
        <v>45</v>
      </c>
      <c r="C86" t="s">
        <v>46</v>
      </c>
      <c r="D86" t="s">
        <v>59</v>
      </c>
      <c r="E86" t="s">
        <v>48</v>
      </c>
      <c r="F86" t="s">
        <v>49</v>
      </c>
      <c r="G86" t="s">
        <v>1316</v>
      </c>
      <c r="H86">
        <v>2037</v>
      </c>
      <c r="I86" t="s">
        <v>62</v>
      </c>
      <c r="J86" t="s">
        <v>52</v>
      </c>
      <c r="K86" t="s">
        <v>79</v>
      </c>
      <c r="L86" t="s">
        <v>56</v>
      </c>
      <c r="M86" t="s">
        <v>54</v>
      </c>
      <c r="N86">
        <v>5</v>
      </c>
      <c r="O86">
        <v>-2</v>
      </c>
      <c r="P86">
        <v>0</v>
      </c>
      <c r="Q86">
        <v>41</v>
      </c>
      <c r="R86">
        <v>0</v>
      </c>
      <c r="T86">
        <v>0</v>
      </c>
      <c r="U86">
        <v>1</v>
      </c>
      <c r="V86">
        <v>930</v>
      </c>
      <c r="W86">
        <v>3</v>
      </c>
      <c r="X86" t="s">
        <v>77</v>
      </c>
      <c r="Y86">
        <v>1</v>
      </c>
      <c r="Z86">
        <v>3</v>
      </c>
      <c r="AA86">
        <v>57</v>
      </c>
      <c r="AB86">
        <v>2</v>
      </c>
      <c r="AC86">
        <v>2</v>
      </c>
      <c r="AD86">
        <v>2</v>
      </c>
      <c r="AE86">
        <v>8938</v>
      </c>
      <c r="AF86">
        <v>12227</v>
      </c>
      <c r="AG86">
        <v>2</v>
      </c>
      <c r="AH86">
        <v>11</v>
      </c>
      <c r="AI86">
        <v>3</v>
      </c>
      <c r="AJ86">
        <v>3</v>
      </c>
      <c r="AK86">
        <v>80</v>
      </c>
      <c r="AL86">
        <v>1</v>
      </c>
      <c r="AM86">
        <v>14</v>
      </c>
      <c r="AN86">
        <v>3</v>
      </c>
      <c r="AO86">
        <v>5</v>
      </c>
      <c r="AP86">
        <v>4</v>
      </c>
      <c r="AQ86">
        <v>0</v>
      </c>
      <c r="AR86">
        <v>4</v>
      </c>
    </row>
    <row r="87" spans="1:44" x14ac:dyDescent="0.35">
      <c r="A87" t="s">
        <v>56</v>
      </c>
      <c r="B87" t="s">
        <v>45</v>
      </c>
      <c r="C87" t="s">
        <v>69</v>
      </c>
      <c r="D87" t="s">
        <v>59</v>
      </c>
      <c r="E87" t="s">
        <v>48</v>
      </c>
      <c r="F87" t="s">
        <v>106</v>
      </c>
      <c r="G87" t="s">
        <v>1315</v>
      </c>
      <c r="H87">
        <v>1754</v>
      </c>
      <c r="I87" t="s">
        <v>62</v>
      </c>
      <c r="J87" t="s">
        <v>52</v>
      </c>
      <c r="K87" t="s">
        <v>79</v>
      </c>
      <c r="L87" t="s">
        <v>56</v>
      </c>
      <c r="M87" t="s">
        <v>54</v>
      </c>
      <c r="N87">
        <v>2</v>
      </c>
      <c r="O87">
        <v>-2</v>
      </c>
      <c r="P87">
        <v>0</v>
      </c>
      <c r="Q87">
        <v>30</v>
      </c>
      <c r="R87">
        <v>0</v>
      </c>
      <c r="T87">
        <v>0</v>
      </c>
      <c r="U87">
        <v>1</v>
      </c>
      <c r="V87">
        <v>979</v>
      </c>
      <c r="W87">
        <v>15</v>
      </c>
      <c r="X87" t="s">
        <v>55</v>
      </c>
      <c r="Y87">
        <v>1</v>
      </c>
      <c r="Z87">
        <v>3</v>
      </c>
      <c r="AA87">
        <v>94</v>
      </c>
      <c r="AB87">
        <v>2</v>
      </c>
      <c r="AC87">
        <v>3</v>
      </c>
      <c r="AD87">
        <v>2</v>
      </c>
      <c r="AE87">
        <v>7140</v>
      </c>
      <c r="AF87">
        <v>3088</v>
      </c>
      <c r="AG87">
        <v>2</v>
      </c>
      <c r="AH87">
        <v>11</v>
      </c>
      <c r="AI87">
        <v>3</v>
      </c>
      <c r="AJ87">
        <v>1</v>
      </c>
      <c r="AK87">
        <v>80</v>
      </c>
      <c r="AL87">
        <v>1</v>
      </c>
      <c r="AM87">
        <v>12</v>
      </c>
      <c r="AN87">
        <v>3</v>
      </c>
      <c r="AO87">
        <v>7</v>
      </c>
      <c r="AP87">
        <v>7</v>
      </c>
      <c r="AQ87">
        <v>1</v>
      </c>
      <c r="AR87">
        <v>7</v>
      </c>
    </row>
    <row r="88" spans="1:44" x14ac:dyDescent="0.35">
      <c r="A88" t="s">
        <v>56</v>
      </c>
      <c r="B88" t="s">
        <v>45</v>
      </c>
      <c r="C88" t="s">
        <v>69</v>
      </c>
      <c r="D88" t="s">
        <v>59</v>
      </c>
      <c r="E88" t="s">
        <v>48</v>
      </c>
      <c r="F88" t="s">
        <v>49</v>
      </c>
      <c r="G88" t="s">
        <v>1314</v>
      </c>
      <c r="H88">
        <v>1453</v>
      </c>
      <c r="I88" t="s">
        <v>62</v>
      </c>
      <c r="J88" t="s">
        <v>52</v>
      </c>
      <c r="K88" t="s">
        <v>79</v>
      </c>
      <c r="L88" t="s">
        <v>56</v>
      </c>
      <c r="M88" t="s">
        <v>54</v>
      </c>
      <c r="N88">
        <v>5</v>
      </c>
      <c r="O88">
        <v>-2</v>
      </c>
      <c r="P88">
        <v>0</v>
      </c>
      <c r="Q88">
        <v>31</v>
      </c>
      <c r="R88">
        <v>0</v>
      </c>
      <c r="T88">
        <v>0</v>
      </c>
      <c r="U88">
        <v>1</v>
      </c>
      <c r="V88">
        <v>326</v>
      </c>
      <c r="W88">
        <v>8</v>
      </c>
      <c r="X88" t="s">
        <v>55</v>
      </c>
      <c r="Y88">
        <v>1</v>
      </c>
      <c r="Z88">
        <v>1</v>
      </c>
      <c r="AA88">
        <v>31</v>
      </c>
      <c r="AB88">
        <v>3</v>
      </c>
      <c r="AC88">
        <v>3</v>
      </c>
      <c r="AD88">
        <v>4</v>
      </c>
      <c r="AE88">
        <v>10793</v>
      </c>
      <c r="AF88">
        <v>8386</v>
      </c>
      <c r="AG88">
        <v>1</v>
      </c>
      <c r="AH88">
        <v>18</v>
      </c>
      <c r="AI88">
        <v>3</v>
      </c>
      <c r="AJ88">
        <v>1</v>
      </c>
      <c r="AK88">
        <v>80</v>
      </c>
      <c r="AL88">
        <v>1</v>
      </c>
      <c r="AM88">
        <v>13</v>
      </c>
      <c r="AN88">
        <v>3</v>
      </c>
      <c r="AO88">
        <v>13</v>
      </c>
      <c r="AP88">
        <v>7</v>
      </c>
      <c r="AQ88">
        <v>9</v>
      </c>
      <c r="AR88">
        <v>9</v>
      </c>
    </row>
    <row r="89" spans="1:44" x14ac:dyDescent="0.35">
      <c r="A89" t="s">
        <v>56</v>
      </c>
      <c r="B89" t="s">
        <v>57</v>
      </c>
      <c r="C89" t="s">
        <v>69</v>
      </c>
      <c r="D89" t="s">
        <v>59</v>
      </c>
      <c r="E89" t="s">
        <v>48</v>
      </c>
      <c r="F89" t="s">
        <v>106</v>
      </c>
      <c r="G89" t="s">
        <v>1225</v>
      </c>
      <c r="H89">
        <v>1853</v>
      </c>
      <c r="I89" t="s">
        <v>62</v>
      </c>
      <c r="J89" t="s">
        <v>52</v>
      </c>
      <c r="K89" t="s">
        <v>53</v>
      </c>
      <c r="L89" t="s">
        <v>56</v>
      </c>
      <c r="M89" t="s">
        <v>54</v>
      </c>
      <c r="N89">
        <v>2</v>
      </c>
      <c r="O89">
        <v>-2</v>
      </c>
      <c r="P89">
        <v>0</v>
      </c>
      <c r="Q89">
        <v>32</v>
      </c>
      <c r="R89">
        <v>0</v>
      </c>
      <c r="T89">
        <v>0</v>
      </c>
      <c r="U89">
        <v>1</v>
      </c>
      <c r="V89">
        <v>1318</v>
      </c>
      <c r="W89">
        <v>10</v>
      </c>
      <c r="X89" t="s">
        <v>71</v>
      </c>
      <c r="Y89">
        <v>1</v>
      </c>
      <c r="Z89">
        <v>4</v>
      </c>
      <c r="AA89">
        <v>79</v>
      </c>
      <c r="AB89">
        <v>3</v>
      </c>
      <c r="AC89">
        <v>2</v>
      </c>
      <c r="AD89">
        <v>2</v>
      </c>
      <c r="AE89">
        <v>4648</v>
      </c>
      <c r="AF89">
        <v>26075</v>
      </c>
      <c r="AG89">
        <v>8</v>
      </c>
      <c r="AH89">
        <v>13</v>
      </c>
      <c r="AI89">
        <v>3</v>
      </c>
      <c r="AJ89">
        <v>3</v>
      </c>
      <c r="AK89">
        <v>80</v>
      </c>
      <c r="AL89">
        <v>0</v>
      </c>
      <c r="AM89">
        <v>4</v>
      </c>
      <c r="AN89">
        <v>4</v>
      </c>
      <c r="AO89">
        <v>0</v>
      </c>
      <c r="AP89">
        <v>0</v>
      </c>
      <c r="AQ89">
        <v>0</v>
      </c>
      <c r="AR89">
        <v>0</v>
      </c>
    </row>
    <row r="90" spans="1:44" x14ac:dyDescent="0.35">
      <c r="A90" t="s">
        <v>56</v>
      </c>
      <c r="B90" t="s">
        <v>57</v>
      </c>
      <c r="C90" t="s">
        <v>69</v>
      </c>
      <c r="D90" t="s">
        <v>59</v>
      </c>
      <c r="E90" t="s">
        <v>48</v>
      </c>
      <c r="F90" t="s">
        <v>66</v>
      </c>
      <c r="G90" t="s">
        <v>1224</v>
      </c>
      <c r="H90">
        <v>1613</v>
      </c>
      <c r="I90" t="s">
        <v>62</v>
      </c>
      <c r="J90" t="s">
        <v>52</v>
      </c>
      <c r="K90" t="s">
        <v>53</v>
      </c>
      <c r="L90" t="s">
        <v>56</v>
      </c>
      <c r="M90" t="s">
        <v>54</v>
      </c>
      <c r="N90">
        <v>3</v>
      </c>
      <c r="O90">
        <v>-2</v>
      </c>
      <c r="P90">
        <v>0</v>
      </c>
      <c r="Q90">
        <v>31</v>
      </c>
      <c r="R90">
        <v>0</v>
      </c>
      <c r="T90">
        <v>0</v>
      </c>
      <c r="U90">
        <v>1</v>
      </c>
      <c r="V90">
        <v>715</v>
      </c>
      <c r="W90">
        <v>2</v>
      </c>
      <c r="X90" t="s">
        <v>71</v>
      </c>
      <c r="Y90">
        <v>1</v>
      </c>
      <c r="Z90">
        <v>4</v>
      </c>
      <c r="AA90">
        <v>54</v>
      </c>
      <c r="AB90">
        <v>3</v>
      </c>
      <c r="AC90">
        <v>2</v>
      </c>
      <c r="AD90">
        <v>3</v>
      </c>
      <c r="AE90">
        <v>5332</v>
      </c>
      <c r="AF90">
        <v>21602</v>
      </c>
      <c r="AG90">
        <v>7</v>
      </c>
      <c r="AH90">
        <v>13</v>
      </c>
      <c r="AI90">
        <v>3</v>
      </c>
      <c r="AJ90">
        <v>4</v>
      </c>
      <c r="AK90">
        <v>80</v>
      </c>
      <c r="AL90">
        <v>0</v>
      </c>
      <c r="AM90">
        <v>10</v>
      </c>
      <c r="AN90">
        <v>3</v>
      </c>
      <c r="AO90">
        <v>5</v>
      </c>
      <c r="AP90">
        <v>2</v>
      </c>
      <c r="AQ90">
        <v>0</v>
      </c>
      <c r="AR90">
        <v>3</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69</v>
      </c>
      <c r="D92" t="s">
        <v>59</v>
      </c>
      <c r="E92" t="s">
        <v>48</v>
      </c>
      <c r="F92" t="s">
        <v>49</v>
      </c>
      <c r="G92" t="s">
        <v>1223</v>
      </c>
      <c r="H92">
        <v>1507</v>
      </c>
      <c r="I92" t="s">
        <v>62</v>
      </c>
      <c r="J92" t="s">
        <v>52</v>
      </c>
      <c r="K92" t="s">
        <v>53</v>
      </c>
      <c r="L92" t="s">
        <v>56</v>
      </c>
      <c r="M92" t="s">
        <v>54</v>
      </c>
      <c r="N92">
        <v>5</v>
      </c>
      <c r="O92">
        <v>-2</v>
      </c>
      <c r="P92">
        <v>0</v>
      </c>
      <c r="Q92">
        <v>28</v>
      </c>
      <c r="R92">
        <v>0</v>
      </c>
      <c r="T92">
        <v>0</v>
      </c>
      <c r="U92">
        <v>1</v>
      </c>
      <c r="V92">
        <v>467</v>
      </c>
      <c r="W92">
        <v>7</v>
      </c>
      <c r="X92" t="s">
        <v>77</v>
      </c>
      <c r="Y92">
        <v>1</v>
      </c>
      <c r="Z92">
        <v>3</v>
      </c>
      <c r="AA92">
        <v>55</v>
      </c>
      <c r="AB92">
        <v>3</v>
      </c>
      <c r="AC92">
        <v>2</v>
      </c>
      <c r="AD92">
        <v>3</v>
      </c>
      <c r="AE92">
        <v>4898</v>
      </c>
      <c r="AF92">
        <v>11827</v>
      </c>
      <c r="AG92">
        <v>0</v>
      </c>
      <c r="AH92">
        <v>14</v>
      </c>
      <c r="AI92">
        <v>3</v>
      </c>
      <c r="AJ92">
        <v>4</v>
      </c>
      <c r="AK92">
        <v>80</v>
      </c>
      <c r="AL92">
        <v>0</v>
      </c>
      <c r="AM92">
        <v>5</v>
      </c>
      <c r="AN92">
        <v>3</v>
      </c>
      <c r="AO92">
        <v>4</v>
      </c>
      <c r="AP92">
        <v>2</v>
      </c>
      <c r="AQ92">
        <v>1</v>
      </c>
      <c r="AR92">
        <v>3</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69</v>
      </c>
      <c r="D95" t="s">
        <v>59</v>
      </c>
      <c r="E95" t="s">
        <v>48</v>
      </c>
      <c r="F95" t="s">
        <v>72</v>
      </c>
      <c r="G95" t="s">
        <v>1222</v>
      </c>
      <c r="H95">
        <v>1477</v>
      </c>
      <c r="I95" t="s">
        <v>62</v>
      </c>
      <c r="J95" t="s">
        <v>52</v>
      </c>
      <c r="K95" t="s">
        <v>64</v>
      </c>
      <c r="L95" t="s">
        <v>56</v>
      </c>
      <c r="M95" t="s">
        <v>54</v>
      </c>
      <c r="N95">
        <v>2</v>
      </c>
      <c r="O95">
        <v>-2</v>
      </c>
      <c r="P95">
        <v>0</v>
      </c>
      <c r="Q95">
        <v>33</v>
      </c>
      <c r="R95">
        <v>0</v>
      </c>
      <c r="T95">
        <v>0</v>
      </c>
      <c r="U95">
        <v>1</v>
      </c>
      <c r="V95">
        <v>430</v>
      </c>
      <c r="W95">
        <v>7</v>
      </c>
      <c r="X95" t="s">
        <v>77</v>
      </c>
      <c r="Y95">
        <v>1</v>
      </c>
      <c r="Z95">
        <v>4</v>
      </c>
      <c r="AA95">
        <v>54</v>
      </c>
      <c r="AB95">
        <v>3</v>
      </c>
      <c r="AC95">
        <v>2</v>
      </c>
      <c r="AD95">
        <v>3</v>
      </c>
      <c r="AE95">
        <v>4373</v>
      </c>
      <c r="AF95">
        <v>17456</v>
      </c>
      <c r="AG95">
        <v>0</v>
      </c>
      <c r="AH95">
        <v>14</v>
      </c>
      <c r="AI95">
        <v>3</v>
      </c>
      <c r="AJ95">
        <v>1</v>
      </c>
      <c r="AK95">
        <v>80</v>
      </c>
      <c r="AL95">
        <v>2</v>
      </c>
      <c r="AM95">
        <v>5</v>
      </c>
      <c r="AN95">
        <v>3</v>
      </c>
      <c r="AO95">
        <v>4</v>
      </c>
      <c r="AP95">
        <v>3</v>
      </c>
      <c r="AQ95">
        <v>0</v>
      </c>
      <c r="AR95">
        <v>3</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57</v>
      </c>
      <c r="C97" t="s">
        <v>58</v>
      </c>
      <c r="D97" t="s">
        <v>59</v>
      </c>
      <c r="E97" t="s">
        <v>48</v>
      </c>
      <c r="F97" t="s">
        <v>72</v>
      </c>
      <c r="G97" t="s">
        <v>1221</v>
      </c>
      <c r="H97">
        <v>2065</v>
      </c>
      <c r="I97" t="s">
        <v>62</v>
      </c>
      <c r="J97" t="s">
        <v>52</v>
      </c>
      <c r="K97" t="s">
        <v>64</v>
      </c>
      <c r="L97" t="s">
        <v>56</v>
      </c>
      <c r="M97" t="s">
        <v>54</v>
      </c>
      <c r="N97">
        <v>3</v>
      </c>
      <c r="O97">
        <v>-2</v>
      </c>
      <c r="P97">
        <v>0</v>
      </c>
      <c r="Q97">
        <v>49</v>
      </c>
      <c r="R97">
        <v>0</v>
      </c>
      <c r="T97">
        <v>0</v>
      </c>
      <c r="U97">
        <v>1</v>
      </c>
      <c r="V97">
        <v>1023</v>
      </c>
      <c r="W97">
        <v>2</v>
      </c>
      <c r="X97" t="s">
        <v>77</v>
      </c>
      <c r="Y97">
        <v>1</v>
      </c>
      <c r="Z97">
        <v>4</v>
      </c>
      <c r="AA97">
        <v>63</v>
      </c>
      <c r="AB97">
        <v>2</v>
      </c>
      <c r="AC97">
        <v>2</v>
      </c>
      <c r="AD97">
        <v>2</v>
      </c>
      <c r="AE97">
        <v>5390</v>
      </c>
      <c r="AF97">
        <v>13243</v>
      </c>
      <c r="AG97">
        <v>2</v>
      </c>
      <c r="AH97">
        <v>14</v>
      </c>
      <c r="AI97">
        <v>3</v>
      </c>
      <c r="AJ97">
        <v>4</v>
      </c>
      <c r="AK97">
        <v>80</v>
      </c>
      <c r="AL97">
        <v>0</v>
      </c>
      <c r="AM97">
        <v>17</v>
      </c>
      <c r="AN97">
        <v>2</v>
      </c>
      <c r="AO97">
        <v>9</v>
      </c>
      <c r="AP97">
        <v>6</v>
      </c>
      <c r="AQ97">
        <v>0</v>
      </c>
      <c r="AR97">
        <v>8</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57</v>
      </c>
      <c r="C101" t="s">
        <v>46</v>
      </c>
      <c r="D101" t="s">
        <v>59</v>
      </c>
      <c r="E101" t="s">
        <v>48</v>
      </c>
      <c r="F101" t="s">
        <v>72</v>
      </c>
      <c r="G101" t="s">
        <v>1220</v>
      </c>
      <c r="H101">
        <v>1700</v>
      </c>
      <c r="I101" t="s">
        <v>62</v>
      </c>
      <c r="J101" t="s">
        <v>52</v>
      </c>
      <c r="K101" t="s">
        <v>79</v>
      </c>
      <c r="L101" t="s">
        <v>56</v>
      </c>
      <c r="M101" t="s">
        <v>54</v>
      </c>
      <c r="N101">
        <v>2</v>
      </c>
      <c r="O101">
        <v>-2</v>
      </c>
      <c r="P101">
        <v>0</v>
      </c>
      <c r="Q101">
        <v>37</v>
      </c>
      <c r="R101">
        <v>0</v>
      </c>
      <c r="T101">
        <v>0</v>
      </c>
      <c r="U101">
        <v>1</v>
      </c>
      <c r="V101">
        <v>1278</v>
      </c>
      <c r="W101">
        <v>1</v>
      </c>
      <c r="X101" t="s">
        <v>71</v>
      </c>
      <c r="Y101">
        <v>1</v>
      </c>
      <c r="Z101">
        <v>3</v>
      </c>
      <c r="AA101">
        <v>31</v>
      </c>
      <c r="AB101">
        <v>1</v>
      </c>
      <c r="AC101">
        <v>2</v>
      </c>
      <c r="AD101">
        <v>4</v>
      </c>
      <c r="AE101">
        <v>9525</v>
      </c>
      <c r="AF101">
        <v>7677</v>
      </c>
      <c r="AG101">
        <v>1</v>
      </c>
      <c r="AH101">
        <v>14</v>
      </c>
      <c r="AI101">
        <v>3</v>
      </c>
      <c r="AJ101">
        <v>3</v>
      </c>
      <c r="AK101">
        <v>80</v>
      </c>
      <c r="AL101">
        <v>2</v>
      </c>
      <c r="AM101">
        <v>6</v>
      </c>
      <c r="AN101">
        <v>2</v>
      </c>
      <c r="AO101">
        <v>6</v>
      </c>
      <c r="AP101">
        <v>3</v>
      </c>
      <c r="AQ101">
        <v>1</v>
      </c>
      <c r="AR101">
        <v>3</v>
      </c>
    </row>
    <row r="102" spans="1:44" x14ac:dyDescent="0.35">
      <c r="A102" t="s">
        <v>56</v>
      </c>
      <c r="B102" t="s">
        <v>57</v>
      </c>
      <c r="C102" t="s">
        <v>46</v>
      </c>
      <c r="D102" t="s">
        <v>59</v>
      </c>
      <c r="E102" t="s">
        <v>48</v>
      </c>
      <c r="F102" t="s">
        <v>49</v>
      </c>
      <c r="G102" t="s">
        <v>1219</v>
      </c>
      <c r="H102">
        <v>1812</v>
      </c>
      <c r="I102" t="s">
        <v>62</v>
      </c>
      <c r="J102" t="s">
        <v>52</v>
      </c>
      <c r="K102" t="s">
        <v>79</v>
      </c>
      <c r="L102" t="s">
        <v>56</v>
      </c>
      <c r="M102" t="s">
        <v>54</v>
      </c>
      <c r="N102">
        <v>6</v>
      </c>
      <c r="O102">
        <v>-2</v>
      </c>
      <c r="P102">
        <v>0</v>
      </c>
      <c r="Q102">
        <v>39</v>
      </c>
      <c r="R102">
        <v>0</v>
      </c>
      <c r="T102">
        <v>0</v>
      </c>
      <c r="U102">
        <v>1</v>
      </c>
      <c r="V102">
        <v>766</v>
      </c>
      <c r="W102">
        <v>20</v>
      </c>
      <c r="X102" t="s">
        <v>77</v>
      </c>
      <c r="Y102">
        <v>1</v>
      </c>
      <c r="Z102">
        <v>3</v>
      </c>
      <c r="AA102">
        <v>83</v>
      </c>
      <c r="AB102">
        <v>3</v>
      </c>
      <c r="AC102">
        <v>2</v>
      </c>
      <c r="AD102">
        <v>4</v>
      </c>
      <c r="AE102">
        <v>4127</v>
      </c>
      <c r="AF102">
        <v>19188</v>
      </c>
      <c r="AG102">
        <v>2</v>
      </c>
      <c r="AH102">
        <v>18</v>
      </c>
      <c r="AI102">
        <v>3</v>
      </c>
      <c r="AJ102">
        <v>4</v>
      </c>
      <c r="AK102">
        <v>80</v>
      </c>
      <c r="AL102">
        <v>1</v>
      </c>
      <c r="AM102">
        <v>7</v>
      </c>
      <c r="AN102">
        <v>3</v>
      </c>
      <c r="AO102">
        <v>2</v>
      </c>
      <c r="AP102">
        <v>1</v>
      </c>
      <c r="AQ102">
        <v>2</v>
      </c>
      <c r="AR102">
        <v>2</v>
      </c>
    </row>
    <row r="103" spans="1:44" x14ac:dyDescent="0.35">
      <c r="A103" t="s">
        <v>56</v>
      </c>
      <c r="B103" t="s">
        <v>91</v>
      </c>
      <c r="C103" t="s">
        <v>58</v>
      </c>
      <c r="D103" t="s">
        <v>59</v>
      </c>
      <c r="E103" t="s">
        <v>48</v>
      </c>
      <c r="F103" t="s">
        <v>49</v>
      </c>
      <c r="G103" t="s">
        <v>1200</v>
      </c>
      <c r="H103">
        <v>1801</v>
      </c>
      <c r="I103" t="s">
        <v>62</v>
      </c>
      <c r="J103" t="s">
        <v>52</v>
      </c>
      <c r="K103" t="s">
        <v>53</v>
      </c>
      <c r="L103" t="s">
        <v>56</v>
      </c>
      <c r="M103" t="s">
        <v>54</v>
      </c>
      <c r="N103">
        <v>3</v>
      </c>
      <c r="O103">
        <v>-2</v>
      </c>
      <c r="P103">
        <v>0</v>
      </c>
      <c r="Q103">
        <v>46</v>
      </c>
      <c r="R103">
        <v>0</v>
      </c>
      <c r="T103">
        <v>0</v>
      </c>
      <c r="U103">
        <v>1</v>
      </c>
      <c r="V103">
        <v>849</v>
      </c>
      <c r="W103">
        <v>26</v>
      </c>
      <c r="X103" t="s">
        <v>55</v>
      </c>
      <c r="Y103">
        <v>1</v>
      </c>
      <c r="Z103">
        <v>2</v>
      </c>
      <c r="AA103">
        <v>98</v>
      </c>
      <c r="AB103">
        <v>2</v>
      </c>
      <c r="AC103">
        <v>2</v>
      </c>
      <c r="AD103">
        <v>2</v>
      </c>
      <c r="AE103">
        <v>7991</v>
      </c>
      <c r="AF103">
        <v>25166</v>
      </c>
      <c r="AG103">
        <v>8</v>
      </c>
      <c r="AH103">
        <v>15</v>
      </c>
      <c r="AI103">
        <v>3</v>
      </c>
      <c r="AJ103">
        <v>3</v>
      </c>
      <c r="AK103">
        <v>80</v>
      </c>
      <c r="AL103">
        <v>0</v>
      </c>
      <c r="AM103">
        <v>6</v>
      </c>
      <c r="AN103">
        <v>3</v>
      </c>
      <c r="AO103">
        <v>2</v>
      </c>
      <c r="AP103">
        <v>2</v>
      </c>
      <c r="AQ103">
        <v>2</v>
      </c>
      <c r="AR103">
        <v>2</v>
      </c>
    </row>
    <row r="104" spans="1:44" x14ac:dyDescent="0.35">
      <c r="A104" t="s">
        <v>56</v>
      </c>
      <c r="B104" t="s">
        <v>91</v>
      </c>
      <c r="C104" t="s">
        <v>58</v>
      </c>
      <c r="D104" t="s">
        <v>59</v>
      </c>
      <c r="E104" t="s">
        <v>48</v>
      </c>
      <c r="F104" t="s">
        <v>106</v>
      </c>
      <c r="G104" t="s">
        <v>1199</v>
      </c>
      <c r="H104">
        <v>1731</v>
      </c>
      <c r="I104" t="s">
        <v>62</v>
      </c>
      <c r="J104" t="s">
        <v>52</v>
      </c>
      <c r="K104" t="s">
        <v>64</v>
      </c>
      <c r="L104" t="s">
        <v>56</v>
      </c>
      <c r="M104" t="s">
        <v>54</v>
      </c>
      <c r="N104">
        <v>3</v>
      </c>
      <c r="O104">
        <v>-2</v>
      </c>
      <c r="P104">
        <v>0</v>
      </c>
      <c r="Q104">
        <v>47</v>
      </c>
      <c r="R104">
        <v>0</v>
      </c>
      <c r="T104">
        <v>0</v>
      </c>
      <c r="U104">
        <v>1</v>
      </c>
      <c r="V104">
        <v>543</v>
      </c>
      <c r="W104">
        <v>2</v>
      </c>
      <c r="X104" t="s">
        <v>71</v>
      </c>
      <c r="Y104">
        <v>1</v>
      </c>
      <c r="Z104">
        <v>3</v>
      </c>
      <c r="AA104">
        <v>87</v>
      </c>
      <c r="AB104">
        <v>3</v>
      </c>
      <c r="AC104">
        <v>2</v>
      </c>
      <c r="AD104">
        <v>2</v>
      </c>
      <c r="AE104">
        <v>4978</v>
      </c>
      <c r="AF104">
        <v>3536</v>
      </c>
      <c r="AG104">
        <v>7</v>
      </c>
      <c r="AH104">
        <v>11</v>
      </c>
      <c r="AI104">
        <v>3</v>
      </c>
      <c r="AJ104">
        <v>4</v>
      </c>
      <c r="AK104">
        <v>80</v>
      </c>
      <c r="AL104">
        <v>1</v>
      </c>
      <c r="AM104">
        <v>4</v>
      </c>
      <c r="AN104">
        <v>1</v>
      </c>
      <c r="AO104">
        <v>1</v>
      </c>
      <c r="AP104">
        <v>0</v>
      </c>
      <c r="AQ104">
        <v>0</v>
      </c>
      <c r="AR104">
        <v>0</v>
      </c>
    </row>
    <row r="105" spans="1:44" x14ac:dyDescent="0.35">
      <c r="A105" t="s">
        <v>56</v>
      </c>
      <c r="B105" t="s">
        <v>91</v>
      </c>
      <c r="C105" t="s">
        <v>58</v>
      </c>
      <c r="D105" t="s">
        <v>59</v>
      </c>
      <c r="E105" t="s">
        <v>48</v>
      </c>
      <c r="F105" t="s">
        <v>106</v>
      </c>
      <c r="G105" t="s">
        <v>1198</v>
      </c>
      <c r="H105">
        <v>1612</v>
      </c>
      <c r="I105" t="s">
        <v>62</v>
      </c>
      <c r="J105" t="s">
        <v>52</v>
      </c>
      <c r="K105" t="s">
        <v>64</v>
      </c>
      <c r="L105" t="s">
        <v>56</v>
      </c>
      <c r="M105" t="s">
        <v>54</v>
      </c>
      <c r="N105">
        <v>2</v>
      </c>
      <c r="O105">
        <v>-2</v>
      </c>
      <c r="P105">
        <v>0</v>
      </c>
      <c r="Q105">
        <v>45</v>
      </c>
      <c r="R105">
        <v>0</v>
      </c>
      <c r="T105">
        <v>0</v>
      </c>
      <c r="U105">
        <v>1</v>
      </c>
      <c r="V105">
        <v>336</v>
      </c>
      <c r="W105">
        <v>26</v>
      </c>
      <c r="X105" t="s">
        <v>77</v>
      </c>
      <c r="Y105">
        <v>1</v>
      </c>
      <c r="Z105">
        <v>1</v>
      </c>
      <c r="AA105">
        <v>52</v>
      </c>
      <c r="AB105">
        <v>2</v>
      </c>
      <c r="AC105">
        <v>2</v>
      </c>
      <c r="AD105">
        <v>2</v>
      </c>
      <c r="AE105">
        <v>4385</v>
      </c>
      <c r="AF105">
        <v>24162</v>
      </c>
      <c r="AG105">
        <v>1</v>
      </c>
      <c r="AH105">
        <v>15</v>
      </c>
      <c r="AI105">
        <v>3</v>
      </c>
      <c r="AJ105">
        <v>1</v>
      </c>
      <c r="AK105">
        <v>80</v>
      </c>
      <c r="AL105">
        <v>1</v>
      </c>
      <c r="AM105">
        <v>10</v>
      </c>
      <c r="AN105">
        <v>3</v>
      </c>
      <c r="AO105">
        <v>10</v>
      </c>
      <c r="AP105">
        <v>7</v>
      </c>
      <c r="AQ105">
        <v>4</v>
      </c>
      <c r="AR105">
        <v>5</v>
      </c>
    </row>
    <row r="106" spans="1:44" x14ac:dyDescent="0.35">
      <c r="A106" t="s">
        <v>56</v>
      </c>
      <c r="B106" t="s">
        <v>45</v>
      </c>
      <c r="C106" t="s">
        <v>58</v>
      </c>
      <c r="D106" t="s">
        <v>59</v>
      </c>
      <c r="E106" t="s">
        <v>48</v>
      </c>
      <c r="F106" t="s">
        <v>106</v>
      </c>
      <c r="G106" t="s">
        <v>1177</v>
      </c>
      <c r="H106">
        <v>1757</v>
      </c>
      <c r="I106" t="s">
        <v>51</v>
      </c>
      <c r="J106" t="s">
        <v>52</v>
      </c>
      <c r="K106" t="s">
        <v>53</v>
      </c>
      <c r="L106" t="s">
        <v>56</v>
      </c>
      <c r="M106" t="s">
        <v>54</v>
      </c>
      <c r="N106">
        <v>1</v>
      </c>
      <c r="O106">
        <v>-2</v>
      </c>
      <c r="P106">
        <v>0</v>
      </c>
      <c r="Q106">
        <v>49</v>
      </c>
      <c r="R106">
        <v>0</v>
      </c>
      <c r="T106">
        <v>0</v>
      </c>
      <c r="U106">
        <v>1</v>
      </c>
      <c r="V106">
        <v>1313</v>
      </c>
      <c r="W106">
        <v>11</v>
      </c>
      <c r="X106" t="s">
        <v>71</v>
      </c>
      <c r="Y106">
        <v>1</v>
      </c>
      <c r="Z106">
        <v>4</v>
      </c>
      <c r="AA106">
        <v>80</v>
      </c>
      <c r="AB106">
        <v>3</v>
      </c>
      <c r="AC106">
        <v>2</v>
      </c>
      <c r="AD106">
        <v>2</v>
      </c>
      <c r="AE106">
        <v>4507</v>
      </c>
      <c r="AF106">
        <v>8191</v>
      </c>
      <c r="AG106">
        <v>3</v>
      </c>
      <c r="AH106">
        <v>12</v>
      </c>
      <c r="AI106">
        <v>3</v>
      </c>
      <c r="AJ106">
        <v>3</v>
      </c>
      <c r="AK106">
        <v>80</v>
      </c>
      <c r="AL106">
        <v>0</v>
      </c>
      <c r="AM106">
        <v>8</v>
      </c>
      <c r="AN106">
        <v>4</v>
      </c>
      <c r="AO106">
        <v>5</v>
      </c>
      <c r="AP106">
        <v>1</v>
      </c>
      <c r="AQ106">
        <v>0</v>
      </c>
      <c r="AR106">
        <v>4</v>
      </c>
    </row>
    <row r="107" spans="1:44" x14ac:dyDescent="0.35">
      <c r="A107" t="s">
        <v>56</v>
      </c>
      <c r="B107" t="s">
        <v>45</v>
      </c>
      <c r="C107" t="s">
        <v>58</v>
      </c>
      <c r="D107" t="s">
        <v>59</v>
      </c>
      <c r="E107" t="s">
        <v>48</v>
      </c>
      <c r="F107" t="s">
        <v>49</v>
      </c>
      <c r="G107" t="s">
        <v>1176</v>
      </c>
      <c r="H107">
        <v>2046</v>
      </c>
      <c r="I107" t="s">
        <v>51</v>
      </c>
      <c r="J107" t="s">
        <v>52</v>
      </c>
      <c r="K107" t="s">
        <v>53</v>
      </c>
      <c r="L107" t="s">
        <v>56</v>
      </c>
      <c r="M107" t="s">
        <v>54</v>
      </c>
      <c r="N107">
        <v>3</v>
      </c>
      <c r="O107">
        <v>-2</v>
      </c>
      <c r="P107">
        <v>0</v>
      </c>
      <c r="Q107">
        <v>45</v>
      </c>
      <c r="R107">
        <v>0</v>
      </c>
      <c r="T107">
        <v>0</v>
      </c>
      <c r="U107">
        <v>1</v>
      </c>
      <c r="V107">
        <v>374</v>
      </c>
      <c r="W107">
        <v>20</v>
      </c>
      <c r="X107" t="s">
        <v>77</v>
      </c>
      <c r="Y107">
        <v>1</v>
      </c>
      <c r="Z107">
        <v>4</v>
      </c>
      <c r="AA107">
        <v>50</v>
      </c>
      <c r="AB107">
        <v>3</v>
      </c>
      <c r="AC107">
        <v>2</v>
      </c>
      <c r="AD107">
        <v>3</v>
      </c>
      <c r="AE107">
        <v>4850</v>
      </c>
      <c r="AF107">
        <v>23333</v>
      </c>
      <c r="AG107">
        <v>8</v>
      </c>
      <c r="AH107">
        <v>15</v>
      </c>
      <c r="AI107">
        <v>3</v>
      </c>
      <c r="AJ107">
        <v>3</v>
      </c>
      <c r="AK107">
        <v>80</v>
      </c>
      <c r="AL107">
        <v>0</v>
      </c>
      <c r="AM107">
        <v>8</v>
      </c>
      <c r="AN107">
        <v>3</v>
      </c>
      <c r="AO107">
        <v>5</v>
      </c>
      <c r="AP107">
        <v>3</v>
      </c>
      <c r="AQ107">
        <v>0</v>
      </c>
      <c r="AR107">
        <v>1</v>
      </c>
    </row>
    <row r="108" spans="1:44" x14ac:dyDescent="0.35">
      <c r="A108" t="s">
        <v>56</v>
      </c>
      <c r="B108" t="s">
        <v>45</v>
      </c>
      <c r="C108" t="s">
        <v>69</v>
      </c>
      <c r="D108" t="s">
        <v>59</v>
      </c>
      <c r="E108" t="s">
        <v>48</v>
      </c>
      <c r="F108" t="s">
        <v>49</v>
      </c>
      <c r="G108" t="s">
        <v>1174</v>
      </c>
      <c r="H108">
        <v>1779</v>
      </c>
      <c r="I108" t="s">
        <v>51</v>
      </c>
      <c r="J108" t="s">
        <v>52</v>
      </c>
      <c r="K108" t="s">
        <v>53</v>
      </c>
      <c r="L108" t="s">
        <v>56</v>
      </c>
      <c r="M108" t="s">
        <v>54</v>
      </c>
      <c r="N108">
        <v>3</v>
      </c>
      <c r="O108">
        <v>-2</v>
      </c>
      <c r="P108">
        <v>0</v>
      </c>
      <c r="Q108">
        <v>34</v>
      </c>
      <c r="R108">
        <v>0</v>
      </c>
      <c r="T108">
        <v>0</v>
      </c>
      <c r="U108">
        <v>1</v>
      </c>
      <c r="V108">
        <v>511</v>
      </c>
      <c r="W108">
        <v>3</v>
      </c>
      <c r="X108" t="s">
        <v>55</v>
      </c>
      <c r="Y108">
        <v>1</v>
      </c>
      <c r="Z108">
        <v>4</v>
      </c>
      <c r="AA108">
        <v>32</v>
      </c>
      <c r="AB108">
        <v>1</v>
      </c>
      <c r="AC108">
        <v>2</v>
      </c>
      <c r="AD108">
        <v>4</v>
      </c>
      <c r="AE108">
        <v>6029</v>
      </c>
      <c r="AF108">
        <v>25353</v>
      </c>
      <c r="AG108">
        <v>5</v>
      </c>
      <c r="AH108">
        <v>12</v>
      </c>
      <c r="AI108">
        <v>3</v>
      </c>
      <c r="AJ108">
        <v>1</v>
      </c>
      <c r="AK108">
        <v>80</v>
      </c>
      <c r="AL108">
        <v>0</v>
      </c>
      <c r="AM108">
        <v>6</v>
      </c>
      <c r="AN108">
        <v>3</v>
      </c>
      <c r="AO108">
        <v>2</v>
      </c>
      <c r="AP108">
        <v>2</v>
      </c>
      <c r="AQ108">
        <v>2</v>
      </c>
      <c r="AR108">
        <v>2</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46</v>
      </c>
      <c r="D110" t="s">
        <v>59</v>
      </c>
      <c r="E110" t="s">
        <v>48</v>
      </c>
      <c r="F110" t="s">
        <v>49</v>
      </c>
      <c r="G110" t="s">
        <v>1171</v>
      </c>
      <c r="H110">
        <v>1585</v>
      </c>
      <c r="I110" t="s">
        <v>51</v>
      </c>
      <c r="J110" t="s">
        <v>52</v>
      </c>
      <c r="K110" t="s">
        <v>53</v>
      </c>
      <c r="L110" t="s">
        <v>56</v>
      </c>
      <c r="M110" t="s">
        <v>54</v>
      </c>
      <c r="N110">
        <v>5</v>
      </c>
      <c r="O110">
        <v>-2</v>
      </c>
      <c r="P110">
        <v>0</v>
      </c>
      <c r="Q110">
        <v>36</v>
      </c>
      <c r="R110">
        <v>0</v>
      </c>
      <c r="T110">
        <v>0</v>
      </c>
      <c r="U110">
        <v>1</v>
      </c>
      <c r="V110">
        <v>884</v>
      </c>
      <c r="W110">
        <v>1</v>
      </c>
      <c r="X110" t="s">
        <v>71</v>
      </c>
      <c r="Y110">
        <v>1</v>
      </c>
      <c r="Z110">
        <v>2</v>
      </c>
      <c r="AA110">
        <v>73</v>
      </c>
      <c r="AB110">
        <v>3</v>
      </c>
      <c r="AC110">
        <v>2</v>
      </c>
      <c r="AD110">
        <v>3</v>
      </c>
      <c r="AE110">
        <v>6815</v>
      </c>
      <c r="AF110">
        <v>21447</v>
      </c>
      <c r="AG110">
        <v>6</v>
      </c>
      <c r="AH110">
        <v>13</v>
      </c>
      <c r="AI110">
        <v>3</v>
      </c>
      <c r="AJ110">
        <v>1</v>
      </c>
      <c r="AK110">
        <v>80</v>
      </c>
      <c r="AL110">
        <v>0</v>
      </c>
      <c r="AM110">
        <v>15</v>
      </c>
      <c r="AN110">
        <v>3</v>
      </c>
      <c r="AO110">
        <v>1</v>
      </c>
      <c r="AP110">
        <v>0</v>
      </c>
      <c r="AQ110">
        <v>0</v>
      </c>
      <c r="AR110">
        <v>0</v>
      </c>
    </row>
    <row r="111" spans="1:44" x14ac:dyDescent="0.35">
      <c r="A111" t="s">
        <v>56</v>
      </c>
      <c r="B111" t="s">
        <v>45</v>
      </c>
      <c r="C111" t="s">
        <v>46</v>
      </c>
      <c r="D111" t="s">
        <v>59</v>
      </c>
      <c r="E111" t="s">
        <v>48</v>
      </c>
      <c r="F111" t="s">
        <v>49</v>
      </c>
      <c r="G111" t="s">
        <v>1170</v>
      </c>
      <c r="H111">
        <v>1583</v>
      </c>
      <c r="I111" t="s">
        <v>51</v>
      </c>
      <c r="J111" t="s">
        <v>52</v>
      </c>
      <c r="K111" t="s">
        <v>53</v>
      </c>
      <c r="L111" t="s">
        <v>56</v>
      </c>
      <c r="M111" t="s">
        <v>54</v>
      </c>
      <c r="N111">
        <v>5</v>
      </c>
      <c r="O111">
        <v>-2</v>
      </c>
      <c r="P111">
        <v>0</v>
      </c>
      <c r="Q111">
        <v>38</v>
      </c>
      <c r="R111">
        <v>0</v>
      </c>
      <c r="T111">
        <v>0</v>
      </c>
      <c r="U111">
        <v>1</v>
      </c>
      <c r="V111">
        <v>437</v>
      </c>
      <c r="W111">
        <v>16</v>
      </c>
      <c r="X111" t="s">
        <v>77</v>
      </c>
      <c r="Y111">
        <v>1</v>
      </c>
      <c r="Z111">
        <v>2</v>
      </c>
      <c r="AA111">
        <v>90</v>
      </c>
      <c r="AB111">
        <v>3</v>
      </c>
      <c r="AC111">
        <v>2</v>
      </c>
      <c r="AD111">
        <v>2</v>
      </c>
      <c r="AE111">
        <v>4198</v>
      </c>
      <c r="AF111">
        <v>16379</v>
      </c>
      <c r="AG111">
        <v>2</v>
      </c>
      <c r="AH111">
        <v>12</v>
      </c>
      <c r="AI111">
        <v>3</v>
      </c>
      <c r="AJ111">
        <v>2</v>
      </c>
      <c r="AK111">
        <v>80</v>
      </c>
      <c r="AL111">
        <v>0</v>
      </c>
      <c r="AM111">
        <v>8</v>
      </c>
      <c r="AN111">
        <v>4</v>
      </c>
      <c r="AO111">
        <v>3</v>
      </c>
      <c r="AP111">
        <v>2</v>
      </c>
      <c r="AQ111">
        <v>1</v>
      </c>
      <c r="AR111">
        <v>2</v>
      </c>
    </row>
    <row r="112" spans="1:44" x14ac:dyDescent="0.35">
      <c r="A112" t="s">
        <v>56</v>
      </c>
      <c r="B112" t="s">
        <v>45</v>
      </c>
      <c r="C112" t="s">
        <v>69</v>
      </c>
      <c r="D112" t="s">
        <v>59</v>
      </c>
      <c r="E112" t="s">
        <v>48</v>
      </c>
      <c r="F112" t="s">
        <v>72</v>
      </c>
      <c r="G112" t="s">
        <v>1169</v>
      </c>
      <c r="H112">
        <v>1898</v>
      </c>
      <c r="I112" t="s">
        <v>51</v>
      </c>
      <c r="J112" t="s">
        <v>52</v>
      </c>
      <c r="K112" t="s">
        <v>53</v>
      </c>
      <c r="L112" t="s">
        <v>56</v>
      </c>
      <c r="M112" t="s">
        <v>54</v>
      </c>
      <c r="N112">
        <v>5</v>
      </c>
      <c r="O112">
        <v>-2</v>
      </c>
      <c r="P112">
        <v>0</v>
      </c>
      <c r="Q112">
        <v>27</v>
      </c>
      <c r="R112">
        <v>0</v>
      </c>
      <c r="T112">
        <v>0</v>
      </c>
      <c r="U112">
        <v>1</v>
      </c>
      <c r="V112">
        <v>511</v>
      </c>
      <c r="W112">
        <v>2</v>
      </c>
      <c r="X112" t="s">
        <v>55</v>
      </c>
      <c r="Y112">
        <v>1</v>
      </c>
      <c r="Z112">
        <v>1</v>
      </c>
      <c r="AA112">
        <v>89</v>
      </c>
      <c r="AB112">
        <v>4</v>
      </c>
      <c r="AC112">
        <v>2</v>
      </c>
      <c r="AD112">
        <v>3</v>
      </c>
      <c r="AE112">
        <v>6500</v>
      </c>
      <c r="AF112">
        <v>26997</v>
      </c>
      <c r="AG112">
        <v>0</v>
      </c>
      <c r="AH112">
        <v>14</v>
      </c>
      <c r="AI112">
        <v>3</v>
      </c>
      <c r="AJ112">
        <v>2</v>
      </c>
      <c r="AK112">
        <v>80</v>
      </c>
      <c r="AL112">
        <v>0</v>
      </c>
      <c r="AM112">
        <v>9</v>
      </c>
      <c r="AN112">
        <v>2</v>
      </c>
      <c r="AO112">
        <v>8</v>
      </c>
      <c r="AP112">
        <v>7</v>
      </c>
      <c r="AQ112">
        <v>0</v>
      </c>
      <c r="AR112">
        <v>7</v>
      </c>
    </row>
    <row r="113" spans="1:44" x14ac:dyDescent="0.35">
      <c r="A113" t="s">
        <v>56</v>
      </c>
      <c r="B113" t="s">
        <v>45</v>
      </c>
      <c r="C113" t="s">
        <v>69</v>
      </c>
      <c r="D113" t="s">
        <v>59</v>
      </c>
      <c r="E113" t="s">
        <v>48</v>
      </c>
      <c r="F113" t="s">
        <v>106</v>
      </c>
      <c r="G113" t="s">
        <v>1168</v>
      </c>
      <c r="H113">
        <v>2016</v>
      </c>
      <c r="I113" t="s">
        <v>51</v>
      </c>
      <c r="J113" t="s">
        <v>52</v>
      </c>
      <c r="K113" t="s">
        <v>64</v>
      </c>
      <c r="L113" t="s">
        <v>56</v>
      </c>
      <c r="M113" t="s">
        <v>54</v>
      </c>
      <c r="N113">
        <v>3</v>
      </c>
      <c r="O113">
        <v>-2</v>
      </c>
      <c r="P113">
        <v>0</v>
      </c>
      <c r="Q113">
        <v>32</v>
      </c>
      <c r="R113">
        <v>0</v>
      </c>
      <c r="T113">
        <v>0</v>
      </c>
      <c r="U113">
        <v>1</v>
      </c>
      <c r="V113">
        <v>801</v>
      </c>
      <c r="W113">
        <v>1</v>
      </c>
      <c r="X113" t="s">
        <v>71</v>
      </c>
      <c r="Y113">
        <v>1</v>
      </c>
      <c r="Z113">
        <v>3</v>
      </c>
      <c r="AA113">
        <v>48</v>
      </c>
      <c r="AB113">
        <v>3</v>
      </c>
      <c r="AC113">
        <v>3</v>
      </c>
      <c r="AD113">
        <v>2</v>
      </c>
      <c r="AE113">
        <v>10422</v>
      </c>
      <c r="AF113">
        <v>24032</v>
      </c>
      <c r="AG113">
        <v>1</v>
      </c>
      <c r="AH113">
        <v>19</v>
      </c>
      <c r="AI113">
        <v>3</v>
      </c>
      <c r="AJ113">
        <v>3</v>
      </c>
      <c r="AK113">
        <v>80</v>
      </c>
      <c r="AL113">
        <v>2</v>
      </c>
      <c r="AM113">
        <v>14</v>
      </c>
      <c r="AN113">
        <v>3</v>
      </c>
      <c r="AO113">
        <v>14</v>
      </c>
      <c r="AP113">
        <v>10</v>
      </c>
      <c r="AQ113">
        <v>5</v>
      </c>
      <c r="AR113">
        <v>7</v>
      </c>
    </row>
    <row r="114" spans="1:44" x14ac:dyDescent="0.35">
      <c r="A114" t="s">
        <v>56</v>
      </c>
      <c r="B114" t="s">
        <v>45</v>
      </c>
      <c r="C114" t="s">
        <v>46</v>
      </c>
      <c r="D114" t="s">
        <v>59</v>
      </c>
      <c r="E114" t="s">
        <v>48</v>
      </c>
      <c r="F114" t="s">
        <v>106</v>
      </c>
      <c r="G114" t="s">
        <v>1167</v>
      </c>
      <c r="H114">
        <v>1436</v>
      </c>
      <c r="I114" t="s">
        <v>51</v>
      </c>
      <c r="J114" t="s">
        <v>52</v>
      </c>
      <c r="K114" t="s">
        <v>64</v>
      </c>
      <c r="L114" t="s">
        <v>56</v>
      </c>
      <c r="M114" t="s">
        <v>54</v>
      </c>
      <c r="N114">
        <v>3</v>
      </c>
      <c r="O114">
        <v>-2</v>
      </c>
      <c r="P114">
        <v>0</v>
      </c>
      <c r="Q114">
        <v>36</v>
      </c>
      <c r="R114">
        <v>0</v>
      </c>
      <c r="T114">
        <v>0</v>
      </c>
      <c r="U114">
        <v>1</v>
      </c>
      <c r="V114">
        <v>329</v>
      </c>
      <c r="W114">
        <v>16</v>
      </c>
      <c r="X114" t="s">
        <v>71</v>
      </c>
      <c r="Y114">
        <v>1</v>
      </c>
      <c r="Z114">
        <v>3</v>
      </c>
      <c r="AA114">
        <v>98</v>
      </c>
      <c r="AB114">
        <v>2</v>
      </c>
      <c r="AC114">
        <v>2</v>
      </c>
      <c r="AD114">
        <v>2</v>
      </c>
      <c r="AE114">
        <v>5647</v>
      </c>
      <c r="AF114">
        <v>13494</v>
      </c>
      <c r="AG114">
        <v>4</v>
      </c>
      <c r="AH114">
        <v>13</v>
      </c>
      <c r="AI114">
        <v>3</v>
      </c>
      <c r="AJ114">
        <v>1</v>
      </c>
      <c r="AK114">
        <v>80</v>
      </c>
      <c r="AL114">
        <v>2</v>
      </c>
      <c r="AM114">
        <v>11</v>
      </c>
      <c r="AN114">
        <v>2</v>
      </c>
      <c r="AO114">
        <v>3</v>
      </c>
      <c r="AP114">
        <v>2</v>
      </c>
      <c r="AQ114">
        <v>0</v>
      </c>
      <c r="AR114">
        <v>2</v>
      </c>
    </row>
    <row r="115" spans="1:44" x14ac:dyDescent="0.35">
      <c r="A115" t="s">
        <v>56</v>
      </c>
      <c r="B115" t="s">
        <v>45</v>
      </c>
      <c r="C115" t="s">
        <v>69</v>
      </c>
      <c r="D115" t="s">
        <v>59</v>
      </c>
      <c r="E115" t="s">
        <v>48</v>
      </c>
      <c r="F115" t="s">
        <v>49</v>
      </c>
      <c r="G115" t="s">
        <v>1166</v>
      </c>
      <c r="H115">
        <v>1673</v>
      </c>
      <c r="I115" t="s">
        <v>51</v>
      </c>
      <c r="J115" t="s">
        <v>52</v>
      </c>
      <c r="K115" t="s">
        <v>64</v>
      </c>
      <c r="L115" t="s">
        <v>56</v>
      </c>
      <c r="M115" t="s">
        <v>54</v>
      </c>
      <c r="N115">
        <v>2</v>
      </c>
      <c r="O115">
        <v>-2</v>
      </c>
      <c r="P115">
        <v>0</v>
      </c>
      <c r="Q115">
        <v>31</v>
      </c>
      <c r="R115">
        <v>0</v>
      </c>
      <c r="T115">
        <v>0</v>
      </c>
      <c r="U115">
        <v>1</v>
      </c>
      <c r="V115">
        <v>1112</v>
      </c>
      <c r="W115">
        <v>5</v>
      </c>
      <c r="X115" t="s">
        <v>71</v>
      </c>
      <c r="Y115">
        <v>1</v>
      </c>
      <c r="Z115">
        <v>1</v>
      </c>
      <c r="AA115">
        <v>67</v>
      </c>
      <c r="AB115">
        <v>3</v>
      </c>
      <c r="AC115">
        <v>2</v>
      </c>
      <c r="AD115">
        <v>4</v>
      </c>
      <c r="AE115">
        <v>5476</v>
      </c>
      <c r="AF115">
        <v>22589</v>
      </c>
      <c r="AG115">
        <v>1</v>
      </c>
      <c r="AH115">
        <v>11</v>
      </c>
      <c r="AI115">
        <v>3</v>
      </c>
      <c r="AJ115">
        <v>1</v>
      </c>
      <c r="AK115">
        <v>80</v>
      </c>
      <c r="AL115">
        <v>2</v>
      </c>
      <c r="AM115">
        <v>10</v>
      </c>
      <c r="AN115">
        <v>3</v>
      </c>
      <c r="AO115">
        <v>10</v>
      </c>
      <c r="AP115">
        <v>0</v>
      </c>
      <c r="AQ115">
        <v>0</v>
      </c>
      <c r="AR115">
        <v>2</v>
      </c>
    </row>
    <row r="116" spans="1:44" x14ac:dyDescent="0.35">
      <c r="A116" t="s">
        <v>56</v>
      </c>
      <c r="B116" t="s">
        <v>45</v>
      </c>
      <c r="C116" t="s">
        <v>46</v>
      </c>
      <c r="D116" t="s">
        <v>59</v>
      </c>
      <c r="E116" t="s">
        <v>48</v>
      </c>
      <c r="F116" t="s">
        <v>72</v>
      </c>
      <c r="G116" t="s">
        <v>1165</v>
      </c>
      <c r="H116">
        <v>2024</v>
      </c>
      <c r="I116" t="s">
        <v>51</v>
      </c>
      <c r="J116" t="s">
        <v>52</v>
      </c>
      <c r="K116" t="s">
        <v>64</v>
      </c>
      <c r="L116" t="s">
        <v>56</v>
      </c>
      <c r="M116" t="s">
        <v>54</v>
      </c>
      <c r="N116">
        <v>2</v>
      </c>
      <c r="O116">
        <v>-2</v>
      </c>
      <c r="P116">
        <v>0</v>
      </c>
      <c r="Q116">
        <v>36</v>
      </c>
      <c r="R116">
        <v>0</v>
      </c>
      <c r="T116">
        <v>0</v>
      </c>
      <c r="U116">
        <v>1</v>
      </c>
      <c r="V116">
        <v>557</v>
      </c>
      <c r="W116">
        <v>3</v>
      </c>
      <c r="X116" t="s">
        <v>77</v>
      </c>
      <c r="Y116">
        <v>1</v>
      </c>
      <c r="Z116">
        <v>1</v>
      </c>
      <c r="AA116">
        <v>94</v>
      </c>
      <c r="AB116">
        <v>2</v>
      </c>
      <c r="AC116">
        <v>3</v>
      </c>
      <c r="AD116">
        <v>4</v>
      </c>
      <c r="AE116">
        <v>7644</v>
      </c>
      <c r="AF116">
        <v>12695</v>
      </c>
      <c r="AG116">
        <v>0</v>
      </c>
      <c r="AH116">
        <v>19</v>
      </c>
      <c r="AI116">
        <v>3</v>
      </c>
      <c r="AJ116">
        <v>3</v>
      </c>
      <c r="AK116">
        <v>80</v>
      </c>
      <c r="AL116">
        <v>2</v>
      </c>
      <c r="AM116">
        <v>10</v>
      </c>
      <c r="AN116">
        <v>3</v>
      </c>
      <c r="AO116">
        <v>9</v>
      </c>
      <c r="AP116">
        <v>7</v>
      </c>
      <c r="AQ116">
        <v>3</v>
      </c>
      <c r="AR116">
        <v>4</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48</v>
      </c>
      <c r="F118" t="s">
        <v>106</v>
      </c>
      <c r="G118" t="s">
        <v>1164</v>
      </c>
      <c r="H118">
        <v>1784</v>
      </c>
      <c r="I118" t="s">
        <v>51</v>
      </c>
      <c r="J118" t="s">
        <v>52</v>
      </c>
      <c r="K118" t="s">
        <v>64</v>
      </c>
      <c r="L118" t="s">
        <v>56</v>
      </c>
      <c r="M118" t="s">
        <v>54</v>
      </c>
      <c r="N118">
        <v>3</v>
      </c>
      <c r="O118">
        <v>-2</v>
      </c>
      <c r="P118">
        <v>0</v>
      </c>
      <c r="Q118">
        <v>31</v>
      </c>
      <c r="R118">
        <v>0</v>
      </c>
      <c r="T118">
        <v>0</v>
      </c>
      <c r="U118">
        <v>1</v>
      </c>
      <c r="V118">
        <v>196</v>
      </c>
      <c r="W118">
        <v>29</v>
      </c>
      <c r="X118" t="s">
        <v>71</v>
      </c>
      <c r="Y118">
        <v>1</v>
      </c>
      <c r="Z118">
        <v>1</v>
      </c>
      <c r="AA118">
        <v>91</v>
      </c>
      <c r="AB118">
        <v>2</v>
      </c>
      <c r="AC118">
        <v>2</v>
      </c>
      <c r="AD118">
        <v>2</v>
      </c>
      <c r="AE118">
        <v>5468</v>
      </c>
      <c r="AF118">
        <v>13402</v>
      </c>
      <c r="AG118">
        <v>1</v>
      </c>
      <c r="AH118">
        <v>14</v>
      </c>
      <c r="AI118">
        <v>3</v>
      </c>
      <c r="AJ118">
        <v>1</v>
      </c>
      <c r="AK118">
        <v>80</v>
      </c>
      <c r="AL118">
        <v>2</v>
      </c>
      <c r="AM118">
        <v>13</v>
      </c>
      <c r="AN118">
        <v>3</v>
      </c>
      <c r="AO118">
        <v>12</v>
      </c>
      <c r="AP118">
        <v>7</v>
      </c>
      <c r="AQ118">
        <v>5</v>
      </c>
      <c r="AR118">
        <v>7</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48</v>
      </c>
      <c r="F120" t="s">
        <v>49</v>
      </c>
      <c r="G120" t="s">
        <v>1163</v>
      </c>
      <c r="H120">
        <v>1598</v>
      </c>
      <c r="I120" t="s">
        <v>51</v>
      </c>
      <c r="J120" t="s">
        <v>52</v>
      </c>
      <c r="K120" t="s">
        <v>64</v>
      </c>
      <c r="L120" t="s">
        <v>56</v>
      </c>
      <c r="M120" t="s">
        <v>54</v>
      </c>
      <c r="N120">
        <v>2</v>
      </c>
      <c r="O120">
        <v>-2</v>
      </c>
      <c r="P120">
        <v>0</v>
      </c>
      <c r="Q120">
        <v>40</v>
      </c>
      <c r="R120">
        <v>0</v>
      </c>
      <c r="T120">
        <v>0</v>
      </c>
      <c r="U120">
        <v>1</v>
      </c>
      <c r="V120">
        <v>118</v>
      </c>
      <c r="W120">
        <v>14</v>
      </c>
      <c r="X120" t="s">
        <v>55</v>
      </c>
      <c r="Y120">
        <v>1</v>
      </c>
      <c r="Z120">
        <v>4</v>
      </c>
      <c r="AA120">
        <v>84</v>
      </c>
      <c r="AB120">
        <v>3</v>
      </c>
      <c r="AC120">
        <v>2</v>
      </c>
      <c r="AD120">
        <v>3</v>
      </c>
      <c r="AE120">
        <v>4639</v>
      </c>
      <c r="AF120">
        <v>11262</v>
      </c>
      <c r="AG120">
        <v>1</v>
      </c>
      <c r="AH120">
        <v>15</v>
      </c>
      <c r="AI120">
        <v>3</v>
      </c>
      <c r="AJ120">
        <v>3</v>
      </c>
      <c r="AK120">
        <v>80</v>
      </c>
      <c r="AL120">
        <v>1</v>
      </c>
      <c r="AM120">
        <v>5</v>
      </c>
      <c r="AN120">
        <v>3</v>
      </c>
      <c r="AO120">
        <v>5</v>
      </c>
      <c r="AP120">
        <v>4</v>
      </c>
      <c r="AQ120">
        <v>1</v>
      </c>
      <c r="AR120">
        <v>2</v>
      </c>
    </row>
    <row r="121" spans="1:44" x14ac:dyDescent="0.35">
      <c r="A121" t="s">
        <v>56</v>
      </c>
      <c r="B121" t="s">
        <v>45</v>
      </c>
      <c r="C121" t="s">
        <v>75</v>
      </c>
      <c r="D121" t="s">
        <v>59</v>
      </c>
      <c r="E121" t="s">
        <v>48</v>
      </c>
      <c r="F121" t="s">
        <v>106</v>
      </c>
      <c r="G121" t="s">
        <v>1162</v>
      </c>
      <c r="H121">
        <v>1935</v>
      </c>
      <c r="I121" t="s">
        <v>51</v>
      </c>
      <c r="J121" t="s">
        <v>52</v>
      </c>
      <c r="K121" t="s">
        <v>64</v>
      </c>
      <c r="L121" t="s">
        <v>56</v>
      </c>
      <c r="M121" t="s">
        <v>54</v>
      </c>
      <c r="N121">
        <v>3</v>
      </c>
      <c r="O121">
        <v>-2</v>
      </c>
      <c r="P121">
        <v>0</v>
      </c>
      <c r="Q121">
        <v>56</v>
      </c>
      <c r="R121">
        <v>0</v>
      </c>
      <c r="T121">
        <v>0</v>
      </c>
      <c r="U121">
        <v>1</v>
      </c>
      <c r="V121">
        <v>1443</v>
      </c>
      <c r="W121">
        <v>11</v>
      </c>
      <c r="X121" t="s">
        <v>134</v>
      </c>
      <c r="Y121">
        <v>1</v>
      </c>
      <c r="Z121">
        <v>4</v>
      </c>
      <c r="AA121">
        <v>89</v>
      </c>
      <c r="AB121">
        <v>2</v>
      </c>
      <c r="AC121">
        <v>2</v>
      </c>
      <c r="AD121">
        <v>2</v>
      </c>
      <c r="AE121">
        <v>5380</v>
      </c>
      <c r="AF121">
        <v>20328</v>
      </c>
      <c r="AG121">
        <v>4</v>
      </c>
      <c r="AH121">
        <v>16</v>
      </c>
      <c r="AI121">
        <v>3</v>
      </c>
      <c r="AJ121">
        <v>3</v>
      </c>
      <c r="AK121">
        <v>80</v>
      </c>
      <c r="AL121">
        <v>1</v>
      </c>
      <c r="AM121">
        <v>6</v>
      </c>
      <c r="AN121">
        <v>3</v>
      </c>
      <c r="AO121">
        <v>0</v>
      </c>
      <c r="AP121">
        <v>0</v>
      </c>
      <c r="AQ121">
        <v>0</v>
      </c>
      <c r="AR121">
        <v>0</v>
      </c>
    </row>
    <row r="122" spans="1:44" x14ac:dyDescent="0.35">
      <c r="A122" t="s">
        <v>56</v>
      </c>
      <c r="B122" t="s">
        <v>45</v>
      </c>
      <c r="C122" t="s">
        <v>46</v>
      </c>
      <c r="D122" t="s">
        <v>59</v>
      </c>
      <c r="E122" t="s">
        <v>48</v>
      </c>
      <c r="F122" t="s">
        <v>106</v>
      </c>
      <c r="G122" t="s">
        <v>1159</v>
      </c>
      <c r="H122">
        <v>1986</v>
      </c>
      <c r="I122" t="s">
        <v>51</v>
      </c>
      <c r="J122" t="s">
        <v>52</v>
      </c>
      <c r="K122" t="s">
        <v>64</v>
      </c>
      <c r="L122" t="s">
        <v>56</v>
      </c>
      <c r="M122" t="s">
        <v>54</v>
      </c>
      <c r="N122">
        <v>4</v>
      </c>
      <c r="O122">
        <v>-2</v>
      </c>
      <c r="P122">
        <v>0</v>
      </c>
      <c r="Q122">
        <v>40</v>
      </c>
      <c r="R122">
        <v>0</v>
      </c>
      <c r="T122">
        <v>0</v>
      </c>
      <c r="U122">
        <v>1</v>
      </c>
      <c r="V122">
        <v>444</v>
      </c>
      <c r="W122">
        <v>2</v>
      </c>
      <c r="X122" t="s">
        <v>55</v>
      </c>
      <c r="Y122">
        <v>1</v>
      </c>
      <c r="Z122">
        <v>2</v>
      </c>
      <c r="AA122">
        <v>92</v>
      </c>
      <c r="AB122">
        <v>3</v>
      </c>
      <c r="AC122">
        <v>2</v>
      </c>
      <c r="AD122">
        <v>2</v>
      </c>
      <c r="AE122">
        <v>5677</v>
      </c>
      <c r="AF122">
        <v>4258</v>
      </c>
      <c r="AG122">
        <v>3</v>
      </c>
      <c r="AH122">
        <v>14</v>
      </c>
      <c r="AI122">
        <v>3</v>
      </c>
      <c r="AJ122">
        <v>3</v>
      </c>
      <c r="AK122">
        <v>80</v>
      </c>
      <c r="AL122">
        <v>1</v>
      </c>
      <c r="AM122">
        <v>15</v>
      </c>
      <c r="AN122">
        <v>3</v>
      </c>
      <c r="AO122">
        <v>11</v>
      </c>
      <c r="AP122">
        <v>8</v>
      </c>
      <c r="AQ122">
        <v>5</v>
      </c>
      <c r="AR122">
        <v>10</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56</v>
      </c>
      <c r="B124" t="s">
        <v>45</v>
      </c>
      <c r="C124" t="s">
        <v>46</v>
      </c>
      <c r="D124" t="s">
        <v>59</v>
      </c>
      <c r="E124" t="s">
        <v>48</v>
      </c>
      <c r="F124" t="s">
        <v>106</v>
      </c>
      <c r="G124" t="s">
        <v>1158</v>
      </c>
      <c r="H124">
        <v>2056</v>
      </c>
      <c r="I124" t="s">
        <v>51</v>
      </c>
      <c r="J124" t="s">
        <v>52</v>
      </c>
      <c r="K124" t="s">
        <v>64</v>
      </c>
      <c r="L124" t="s">
        <v>56</v>
      </c>
      <c r="M124" t="s">
        <v>54</v>
      </c>
      <c r="N124">
        <v>2</v>
      </c>
      <c r="O124">
        <v>-2</v>
      </c>
      <c r="P124">
        <v>0</v>
      </c>
      <c r="Q124">
        <v>39</v>
      </c>
      <c r="R124">
        <v>0</v>
      </c>
      <c r="T124">
        <v>0</v>
      </c>
      <c r="U124">
        <v>1</v>
      </c>
      <c r="V124">
        <v>722</v>
      </c>
      <c r="W124">
        <v>24</v>
      </c>
      <c r="X124" t="s">
        <v>65</v>
      </c>
      <c r="Y124">
        <v>1</v>
      </c>
      <c r="Z124">
        <v>2</v>
      </c>
      <c r="AA124">
        <v>60</v>
      </c>
      <c r="AB124">
        <v>2</v>
      </c>
      <c r="AC124">
        <v>4</v>
      </c>
      <c r="AD124">
        <v>2</v>
      </c>
      <c r="AE124">
        <v>12031</v>
      </c>
      <c r="AF124">
        <v>8828</v>
      </c>
      <c r="AG124">
        <v>0</v>
      </c>
      <c r="AH124">
        <v>11</v>
      </c>
      <c r="AI124">
        <v>3</v>
      </c>
      <c r="AJ124">
        <v>1</v>
      </c>
      <c r="AK124">
        <v>80</v>
      </c>
      <c r="AL124">
        <v>1</v>
      </c>
      <c r="AM124">
        <v>21</v>
      </c>
      <c r="AN124">
        <v>2</v>
      </c>
      <c r="AO124">
        <v>20</v>
      </c>
      <c r="AP124">
        <v>9</v>
      </c>
      <c r="AQ124">
        <v>9</v>
      </c>
      <c r="AR124">
        <v>6</v>
      </c>
    </row>
    <row r="125" spans="1:44" x14ac:dyDescent="0.35">
      <c r="A125" t="s">
        <v>56</v>
      </c>
      <c r="B125" t="s">
        <v>45</v>
      </c>
      <c r="C125" t="s">
        <v>46</v>
      </c>
      <c r="D125" t="s">
        <v>59</v>
      </c>
      <c r="E125" t="s">
        <v>48</v>
      </c>
      <c r="F125" t="s">
        <v>106</v>
      </c>
      <c r="G125" t="s">
        <v>1157</v>
      </c>
      <c r="H125">
        <v>2045</v>
      </c>
      <c r="I125" t="s">
        <v>51</v>
      </c>
      <c r="J125" t="s">
        <v>52</v>
      </c>
      <c r="K125" t="s">
        <v>64</v>
      </c>
      <c r="L125" t="s">
        <v>56</v>
      </c>
      <c r="M125" t="s">
        <v>54</v>
      </c>
      <c r="N125">
        <v>2</v>
      </c>
      <c r="O125">
        <v>-2</v>
      </c>
      <c r="P125">
        <v>0</v>
      </c>
      <c r="Q125">
        <v>36</v>
      </c>
      <c r="R125">
        <v>0</v>
      </c>
      <c r="T125">
        <v>0</v>
      </c>
      <c r="U125">
        <v>1</v>
      </c>
      <c r="V125">
        <v>1120</v>
      </c>
      <c r="W125">
        <v>11</v>
      </c>
      <c r="X125" t="s">
        <v>71</v>
      </c>
      <c r="Y125">
        <v>1</v>
      </c>
      <c r="Z125">
        <v>2</v>
      </c>
      <c r="AA125">
        <v>100</v>
      </c>
      <c r="AB125">
        <v>2</v>
      </c>
      <c r="AC125">
        <v>2</v>
      </c>
      <c r="AD125">
        <v>2</v>
      </c>
      <c r="AE125">
        <v>6652</v>
      </c>
      <c r="AF125">
        <v>14369</v>
      </c>
      <c r="AG125">
        <v>4</v>
      </c>
      <c r="AH125">
        <v>13</v>
      </c>
      <c r="AI125">
        <v>3</v>
      </c>
      <c r="AJ125">
        <v>1</v>
      </c>
      <c r="AK125">
        <v>80</v>
      </c>
      <c r="AL125">
        <v>1</v>
      </c>
      <c r="AM125">
        <v>8</v>
      </c>
      <c r="AN125">
        <v>2</v>
      </c>
      <c r="AO125">
        <v>6</v>
      </c>
      <c r="AP125">
        <v>3</v>
      </c>
      <c r="AQ125">
        <v>0</v>
      </c>
      <c r="AR125">
        <v>0</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46</v>
      </c>
      <c r="D127" t="s">
        <v>59</v>
      </c>
      <c r="E127" t="s">
        <v>48</v>
      </c>
      <c r="F127" t="s">
        <v>49</v>
      </c>
      <c r="G127" t="s">
        <v>1156</v>
      </c>
      <c r="H127">
        <v>2041</v>
      </c>
      <c r="I127" t="s">
        <v>51</v>
      </c>
      <c r="J127" t="s">
        <v>52</v>
      </c>
      <c r="K127" t="s">
        <v>64</v>
      </c>
      <c r="L127" t="s">
        <v>56</v>
      </c>
      <c r="M127" t="s">
        <v>54</v>
      </c>
      <c r="N127">
        <v>1</v>
      </c>
      <c r="O127">
        <v>-2</v>
      </c>
      <c r="P127">
        <v>0</v>
      </c>
      <c r="Q127">
        <v>38</v>
      </c>
      <c r="R127">
        <v>0</v>
      </c>
      <c r="T127">
        <v>0</v>
      </c>
      <c r="U127">
        <v>1</v>
      </c>
      <c r="V127">
        <v>345</v>
      </c>
      <c r="W127">
        <v>10</v>
      </c>
      <c r="X127" t="s">
        <v>55</v>
      </c>
      <c r="Y127">
        <v>1</v>
      </c>
      <c r="Z127">
        <v>1</v>
      </c>
      <c r="AA127">
        <v>100</v>
      </c>
      <c r="AB127">
        <v>3</v>
      </c>
      <c r="AC127">
        <v>2</v>
      </c>
      <c r="AD127">
        <v>4</v>
      </c>
      <c r="AE127">
        <v>5343</v>
      </c>
      <c r="AF127">
        <v>5982</v>
      </c>
      <c r="AG127">
        <v>1</v>
      </c>
      <c r="AH127">
        <v>11</v>
      </c>
      <c r="AI127">
        <v>3</v>
      </c>
      <c r="AJ127">
        <v>3</v>
      </c>
      <c r="AK127">
        <v>80</v>
      </c>
      <c r="AL127">
        <v>1</v>
      </c>
      <c r="AM127">
        <v>10</v>
      </c>
      <c r="AN127">
        <v>3</v>
      </c>
      <c r="AO127">
        <v>10</v>
      </c>
      <c r="AP127">
        <v>7</v>
      </c>
      <c r="AQ127">
        <v>1</v>
      </c>
      <c r="AR127">
        <v>9</v>
      </c>
    </row>
    <row r="128" spans="1:44" x14ac:dyDescent="0.35">
      <c r="A128" t="s">
        <v>56</v>
      </c>
      <c r="B128" t="s">
        <v>45</v>
      </c>
      <c r="C128" t="s">
        <v>69</v>
      </c>
      <c r="D128" t="s">
        <v>59</v>
      </c>
      <c r="E128" t="s">
        <v>48</v>
      </c>
      <c r="F128" t="s">
        <v>106</v>
      </c>
      <c r="G128" t="s">
        <v>1154</v>
      </c>
      <c r="H128">
        <v>1428</v>
      </c>
      <c r="I128" t="s">
        <v>51</v>
      </c>
      <c r="J128" t="s">
        <v>52</v>
      </c>
      <c r="K128" t="s">
        <v>79</v>
      </c>
      <c r="L128" t="s">
        <v>56</v>
      </c>
      <c r="M128" t="s">
        <v>54</v>
      </c>
      <c r="N128">
        <v>3</v>
      </c>
      <c r="O128">
        <v>-2</v>
      </c>
      <c r="P128">
        <v>0</v>
      </c>
      <c r="Q128">
        <v>30</v>
      </c>
      <c r="R128">
        <v>0</v>
      </c>
      <c r="T128">
        <v>0</v>
      </c>
      <c r="U128">
        <v>1</v>
      </c>
      <c r="V128">
        <v>855</v>
      </c>
      <c r="W128">
        <v>7</v>
      </c>
      <c r="X128" t="s">
        <v>71</v>
      </c>
      <c r="Y128">
        <v>1</v>
      </c>
      <c r="Z128">
        <v>4</v>
      </c>
      <c r="AA128">
        <v>73</v>
      </c>
      <c r="AB128">
        <v>3</v>
      </c>
      <c r="AC128">
        <v>2</v>
      </c>
      <c r="AD128">
        <v>2</v>
      </c>
      <c r="AE128">
        <v>4779</v>
      </c>
      <c r="AF128">
        <v>12761</v>
      </c>
      <c r="AG128">
        <v>7</v>
      </c>
      <c r="AH128">
        <v>14</v>
      </c>
      <c r="AI128">
        <v>3</v>
      </c>
      <c r="AJ128">
        <v>2</v>
      </c>
      <c r="AK128">
        <v>80</v>
      </c>
      <c r="AL128">
        <v>2</v>
      </c>
      <c r="AM128">
        <v>8</v>
      </c>
      <c r="AN128">
        <v>3</v>
      </c>
      <c r="AO128">
        <v>3</v>
      </c>
      <c r="AP128">
        <v>2</v>
      </c>
      <c r="AQ128">
        <v>0</v>
      </c>
      <c r="AR128">
        <v>2</v>
      </c>
    </row>
    <row r="129" spans="1:44" x14ac:dyDescent="0.35">
      <c r="A129" t="s">
        <v>56</v>
      </c>
      <c r="B129" t="s">
        <v>45</v>
      </c>
      <c r="C129" t="s">
        <v>58</v>
      </c>
      <c r="D129" t="s">
        <v>59</v>
      </c>
      <c r="E129" t="s">
        <v>48</v>
      </c>
      <c r="F129" t="s">
        <v>49</v>
      </c>
      <c r="G129" t="s">
        <v>1153</v>
      </c>
      <c r="H129">
        <v>1557</v>
      </c>
      <c r="I129" t="s">
        <v>51</v>
      </c>
      <c r="J129" t="s">
        <v>52</v>
      </c>
      <c r="K129" t="s">
        <v>79</v>
      </c>
      <c r="L129" t="s">
        <v>56</v>
      </c>
      <c r="M129" t="s">
        <v>54</v>
      </c>
      <c r="N129">
        <v>2</v>
      </c>
      <c r="O129">
        <v>-2</v>
      </c>
      <c r="P129">
        <v>0</v>
      </c>
      <c r="Q129">
        <v>48</v>
      </c>
      <c r="R129">
        <v>0</v>
      </c>
      <c r="T129">
        <v>0</v>
      </c>
      <c r="U129">
        <v>1</v>
      </c>
      <c r="V129">
        <v>492</v>
      </c>
      <c r="W129">
        <v>16</v>
      </c>
      <c r="X129" t="s">
        <v>71</v>
      </c>
      <c r="Y129">
        <v>1</v>
      </c>
      <c r="Z129">
        <v>3</v>
      </c>
      <c r="AA129">
        <v>96</v>
      </c>
      <c r="AB129">
        <v>3</v>
      </c>
      <c r="AC129">
        <v>2</v>
      </c>
      <c r="AD129">
        <v>3</v>
      </c>
      <c r="AE129">
        <v>6439</v>
      </c>
      <c r="AF129">
        <v>13693</v>
      </c>
      <c r="AG129">
        <v>8</v>
      </c>
      <c r="AH129">
        <v>14</v>
      </c>
      <c r="AI129">
        <v>3</v>
      </c>
      <c r="AJ129">
        <v>3</v>
      </c>
      <c r="AK129">
        <v>80</v>
      </c>
      <c r="AL129">
        <v>1</v>
      </c>
      <c r="AM129">
        <v>18</v>
      </c>
      <c r="AN129">
        <v>3</v>
      </c>
      <c r="AO129">
        <v>8</v>
      </c>
      <c r="AP129">
        <v>7</v>
      </c>
      <c r="AQ129">
        <v>7</v>
      </c>
      <c r="AR129">
        <v>7</v>
      </c>
    </row>
    <row r="130" spans="1:44" x14ac:dyDescent="0.35">
      <c r="A130" t="s">
        <v>56</v>
      </c>
      <c r="B130" t="s">
        <v>45</v>
      </c>
      <c r="C130" t="s">
        <v>58</v>
      </c>
      <c r="D130" t="s">
        <v>59</v>
      </c>
      <c r="E130" t="s">
        <v>48</v>
      </c>
      <c r="F130" t="s">
        <v>113</v>
      </c>
      <c r="G130" t="s">
        <v>1152</v>
      </c>
      <c r="H130">
        <v>1863</v>
      </c>
      <c r="I130" t="s">
        <v>51</v>
      </c>
      <c r="J130" t="s">
        <v>52</v>
      </c>
      <c r="K130" t="s">
        <v>79</v>
      </c>
      <c r="L130" t="s">
        <v>56</v>
      </c>
      <c r="M130" t="s">
        <v>54</v>
      </c>
      <c r="N130">
        <v>5</v>
      </c>
      <c r="O130">
        <v>-2</v>
      </c>
      <c r="P130">
        <v>0</v>
      </c>
      <c r="Q130">
        <v>46</v>
      </c>
      <c r="R130">
        <v>0</v>
      </c>
      <c r="T130">
        <v>0</v>
      </c>
      <c r="U130">
        <v>1</v>
      </c>
      <c r="V130">
        <v>1319</v>
      </c>
      <c r="W130">
        <v>3</v>
      </c>
      <c r="X130" t="s">
        <v>77</v>
      </c>
      <c r="Y130">
        <v>1</v>
      </c>
      <c r="Z130">
        <v>4</v>
      </c>
      <c r="AA130">
        <v>45</v>
      </c>
      <c r="AB130">
        <v>4</v>
      </c>
      <c r="AC130">
        <v>4</v>
      </c>
      <c r="AD130">
        <v>4</v>
      </c>
      <c r="AE130">
        <v>13225</v>
      </c>
      <c r="AF130">
        <v>7739</v>
      </c>
      <c r="AG130">
        <v>2</v>
      </c>
      <c r="AH130">
        <v>12</v>
      </c>
      <c r="AI130">
        <v>3</v>
      </c>
      <c r="AJ130">
        <v>4</v>
      </c>
      <c r="AK130">
        <v>80</v>
      </c>
      <c r="AL130">
        <v>1</v>
      </c>
      <c r="AM130">
        <v>25</v>
      </c>
      <c r="AN130">
        <v>3</v>
      </c>
      <c r="AO130">
        <v>19</v>
      </c>
      <c r="AP130">
        <v>17</v>
      </c>
      <c r="AQ130">
        <v>2</v>
      </c>
      <c r="AR130">
        <v>8</v>
      </c>
    </row>
    <row r="131" spans="1:44" x14ac:dyDescent="0.35">
      <c r="A131" t="s">
        <v>56</v>
      </c>
      <c r="B131" t="s">
        <v>57</v>
      </c>
      <c r="C131" t="s">
        <v>69</v>
      </c>
      <c r="D131" t="s">
        <v>59</v>
      </c>
      <c r="E131" t="s">
        <v>48</v>
      </c>
      <c r="F131" t="s">
        <v>106</v>
      </c>
      <c r="G131" t="s">
        <v>1102</v>
      </c>
      <c r="H131">
        <v>1833</v>
      </c>
      <c r="I131" t="s">
        <v>51</v>
      </c>
      <c r="J131" t="s">
        <v>52</v>
      </c>
      <c r="K131" t="s">
        <v>64</v>
      </c>
      <c r="L131" t="s">
        <v>56</v>
      </c>
      <c r="M131" t="s">
        <v>54</v>
      </c>
      <c r="N131">
        <v>3</v>
      </c>
      <c r="O131">
        <v>-2</v>
      </c>
      <c r="P131">
        <v>0</v>
      </c>
      <c r="Q131">
        <v>31</v>
      </c>
      <c r="R131">
        <v>0</v>
      </c>
      <c r="T131">
        <v>0</v>
      </c>
      <c r="U131">
        <v>1</v>
      </c>
      <c r="V131">
        <v>1125</v>
      </c>
      <c r="W131">
        <v>7</v>
      </c>
      <c r="X131" t="s">
        <v>71</v>
      </c>
      <c r="Y131">
        <v>1</v>
      </c>
      <c r="Z131">
        <v>1</v>
      </c>
      <c r="AA131">
        <v>68</v>
      </c>
      <c r="AB131">
        <v>3</v>
      </c>
      <c r="AC131">
        <v>3</v>
      </c>
      <c r="AD131">
        <v>2</v>
      </c>
      <c r="AE131">
        <v>9637</v>
      </c>
      <c r="AF131">
        <v>8277</v>
      </c>
      <c r="AG131">
        <v>2</v>
      </c>
      <c r="AH131">
        <v>14</v>
      </c>
      <c r="AI131">
        <v>3</v>
      </c>
      <c r="AJ131">
        <v>4</v>
      </c>
      <c r="AK131">
        <v>80</v>
      </c>
      <c r="AL131">
        <v>2</v>
      </c>
      <c r="AM131">
        <v>9</v>
      </c>
      <c r="AN131">
        <v>3</v>
      </c>
      <c r="AO131">
        <v>3</v>
      </c>
      <c r="AP131">
        <v>2</v>
      </c>
      <c r="AQ131">
        <v>2</v>
      </c>
      <c r="AR131">
        <v>2</v>
      </c>
    </row>
    <row r="132" spans="1:44" x14ac:dyDescent="0.35">
      <c r="A132" t="s">
        <v>56</v>
      </c>
      <c r="B132" t="s">
        <v>57</v>
      </c>
      <c r="C132" t="s">
        <v>46</v>
      </c>
      <c r="D132" t="s">
        <v>59</v>
      </c>
      <c r="E132" t="s">
        <v>48</v>
      </c>
      <c r="F132" t="s">
        <v>106</v>
      </c>
      <c r="G132" t="s">
        <v>1101</v>
      </c>
      <c r="H132">
        <v>1481</v>
      </c>
      <c r="I132" t="s">
        <v>51</v>
      </c>
      <c r="J132" t="s">
        <v>52</v>
      </c>
      <c r="K132" t="s">
        <v>64</v>
      </c>
      <c r="L132" t="s">
        <v>56</v>
      </c>
      <c r="M132" t="s">
        <v>54</v>
      </c>
      <c r="N132">
        <v>4</v>
      </c>
      <c r="O132">
        <v>-2</v>
      </c>
      <c r="P132">
        <v>0</v>
      </c>
      <c r="Q132">
        <v>44</v>
      </c>
      <c r="R132">
        <v>0</v>
      </c>
      <c r="T132">
        <v>0</v>
      </c>
      <c r="U132">
        <v>1</v>
      </c>
      <c r="V132">
        <v>383</v>
      </c>
      <c r="W132">
        <v>1</v>
      </c>
      <c r="X132" t="s">
        <v>134</v>
      </c>
      <c r="Y132">
        <v>1</v>
      </c>
      <c r="Z132">
        <v>1</v>
      </c>
      <c r="AA132">
        <v>79</v>
      </c>
      <c r="AB132">
        <v>3</v>
      </c>
      <c r="AC132">
        <v>2</v>
      </c>
      <c r="AD132">
        <v>2</v>
      </c>
      <c r="AE132">
        <v>4768</v>
      </c>
      <c r="AF132">
        <v>9282</v>
      </c>
      <c r="AG132">
        <v>7</v>
      </c>
      <c r="AH132">
        <v>12</v>
      </c>
      <c r="AI132">
        <v>3</v>
      </c>
      <c r="AJ132">
        <v>3</v>
      </c>
      <c r="AK132">
        <v>80</v>
      </c>
      <c r="AL132">
        <v>1</v>
      </c>
      <c r="AM132">
        <v>11</v>
      </c>
      <c r="AN132">
        <v>2</v>
      </c>
      <c r="AO132">
        <v>1</v>
      </c>
      <c r="AP132">
        <v>0</v>
      </c>
      <c r="AQ132">
        <v>0</v>
      </c>
      <c r="AR132">
        <v>0</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91</v>
      </c>
      <c r="C136" t="s">
        <v>69</v>
      </c>
      <c r="D136" t="s">
        <v>59</v>
      </c>
      <c r="E136" t="s">
        <v>48</v>
      </c>
      <c r="F136" t="s">
        <v>106</v>
      </c>
      <c r="G136" t="s">
        <v>1091</v>
      </c>
      <c r="H136">
        <v>1756</v>
      </c>
      <c r="I136" t="s">
        <v>51</v>
      </c>
      <c r="J136" t="s">
        <v>52</v>
      </c>
      <c r="K136" t="s">
        <v>53</v>
      </c>
      <c r="L136" t="s">
        <v>56</v>
      </c>
      <c r="M136" t="s">
        <v>54</v>
      </c>
      <c r="N136">
        <v>2</v>
      </c>
      <c r="O136">
        <v>-2</v>
      </c>
      <c r="P136">
        <v>0</v>
      </c>
      <c r="Q136">
        <v>33</v>
      </c>
      <c r="R136">
        <v>0</v>
      </c>
      <c r="T136">
        <v>0</v>
      </c>
      <c r="U136">
        <v>1</v>
      </c>
      <c r="V136">
        <v>1283</v>
      </c>
      <c r="W136">
        <v>2</v>
      </c>
      <c r="X136" t="s">
        <v>77</v>
      </c>
      <c r="Y136">
        <v>1</v>
      </c>
      <c r="Z136">
        <v>4</v>
      </c>
      <c r="AA136">
        <v>62</v>
      </c>
      <c r="AB136">
        <v>3</v>
      </c>
      <c r="AC136">
        <v>2</v>
      </c>
      <c r="AD136">
        <v>2</v>
      </c>
      <c r="AE136">
        <v>5147</v>
      </c>
      <c r="AF136">
        <v>10697</v>
      </c>
      <c r="AG136">
        <v>8</v>
      </c>
      <c r="AH136">
        <v>15</v>
      </c>
      <c r="AI136">
        <v>3</v>
      </c>
      <c r="AJ136">
        <v>4</v>
      </c>
      <c r="AK136">
        <v>80</v>
      </c>
      <c r="AL136">
        <v>0</v>
      </c>
      <c r="AM136">
        <v>13</v>
      </c>
      <c r="AN136">
        <v>2</v>
      </c>
      <c r="AO136">
        <v>11</v>
      </c>
      <c r="AP136">
        <v>7</v>
      </c>
      <c r="AQ136">
        <v>1</v>
      </c>
      <c r="AR136">
        <v>7</v>
      </c>
    </row>
    <row r="137" spans="1:44" x14ac:dyDescent="0.35">
      <c r="A137" t="s">
        <v>56</v>
      </c>
      <c r="B137" t="s">
        <v>91</v>
      </c>
      <c r="C137" t="s">
        <v>46</v>
      </c>
      <c r="D137" t="s">
        <v>59</v>
      </c>
      <c r="E137" t="s">
        <v>48</v>
      </c>
      <c r="F137" t="s">
        <v>49</v>
      </c>
      <c r="G137" t="s">
        <v>1089</v>
      </c>
      <c r="H137">
        <v>1929</v>
      </c>
      <c r="I137" t="s">
        <v>51</v>
      </c>
      <c r="J137" t="s">
        <v>52</v>
      </c>
      <c r="K137" t="s">
        <v>64</v>
      </c>
      <c r="L137" t="s">
        <v>56</v>
      </c>
      <c r="M137" t="s">
        <v>54</v>
      </c>
      <c r="N137">
        <v>1</v>
      </c>
      <c r="O137">
        <v>-2</v>
      </c>
      <c r="P137">
        <v>0</v>
      </c>
      <c r="Q137">
        <v>39</v>
      </c>
      <c r="R137">
        <v>0</v>
      </c>
      <c r="T137">
        <v>0</v>
      </c>
      <c r="U137">
        <v>1</v>
      </c>
      <c r="V137">
        <v>1251</v>
      </c>
      <c r="W137">
        <v>21</v>
      </c>
      <c r="X137" t="s">
        <v>71</v>
      </c>
      <c r="Y137">
        <v>1</v>
      </c>
      <c r="Z137">
        <v>1</v>
      </c>
      <c r="AA137">
        <v>32</v>
      </c>
      <c r="AB137">
        <v>1</v>
      </c>
      <c r="AC137">
        <v>2</v>
      </c>
      <c r="AD137">
        <v>3</v>
      </c>
      <c r="AE137">
        <v>5736</v>
      </c>
      <c r="AF137">
        <v>3987</v>
      </c>
      <c r="AG137">
        <v>6</v>
      </c>
      <c r="AH137">
        <v>19</v>
      </c>
      <c r="AI137">
        <v>3</v>
      </c>
      <c r="AJ137">
        <v>3</v>
      </c>
      <c r="AK137">
        <v>80</v>
      </c>
      <c r="AL137">
        <v>1</v>
      </c>
      <c r="AM137">
        <v>10</v>
      </c>
      <c r="AN137">
        <v>3</v>
      </c>
      <c r="AO137">
        <v>3</v>
      </c>
      <c r="AP137">
        <v>2</v>
      </c>
      <c r="AQ137">
        <v>1</v>
      </c>
      <c r="AR137">
        <v>2</v>
      </c>
    </row>
    <row r="138" spans="1:44" x14ac:dyDescent="0.35">
      <c r="A138" t="s">
        <v>56</v>
      </c>
      <c r="B138" t="s">
        <v>45</v>
      </c>
      <c r="C138" t="s">
        <v>69</v>
      </c>
      <c r="D138" t="s">
        <v>59</v>
      </c>
      <c r="E138" t="s">
        <v>48</v>
      </c>
      <c r="F138" t="s">
        <v>106</v>
      </c>
      <c r="G138" t="s">
        <v>1080</v>
      </c>
      <c r="H138">
        <v>1403</v>
      </c>
      <c r="I138" t="s">
        <v>51</v>
      </c>
      <c r="J138" t="s">
        <v>52</v>
      </c>
      <c r="K138" t="s">
        <v>64</v>
      </c>
      <c r="L138" t="s">
        <v>44</v>
      </c>
      <c r="M138" t="s">
        <v>54</v>
      </c>
      <c r="N138">
        <v>3</v>
      </c>
      <c r="O138">
        <v>-2</v>
      </c>
      <c r="P138">
        <v>0</v>
      </c>
      <c r="Q138">
        <v>27</v>
      </c>
      <c r="R138">
        <v>0</v>
      </c>
      <c r="T138">
        <v>0</v>
      </c>
      <c r="U138">
        <v>1</v>
      </c>
      <c r="V138">
        <v>205</v>
      </c>
      <c r="W138">
        <v>10</v>
      </c>
      <c r="X138" t="s">
        <v>77</v>
      </c>
      <c r="Y138">
        <v>1</v>
      </c>
      <c r="Z138">
        <v>4</v>
      </c>
      <c r="AA138">
        <v>98</v>
      </c>
      <c r="AB138">
        <v>2</v>
      </c>
      <c r="AC138">
        <v>2</v>
      </c>
      <c r="AD138">
        <v>2</v>
      </c>
      <c r="AE138">
        <v>5769</v>
      </c>
      <c r="AF138">
        <v>7100</v>
      </c>
      <c r="AG138">
        <v>1</v>
      </c>
      <c r="AH138">
        <v>11</v>
      </c>
      <c r="AI138">
        <v>3</v>
      </c>
      <c r="AJ138">
        <v>4</v>
      </c>
      <c r="AK138">
        <v>80</v>
      </c>
      <c r="AL138">
        <v>0</v>
      </c>
      <c r="AM138">
        <v>6</v>
      </c>
      <c r="AN138">
        <v>3</v>
      </c>
      <c r="AO138">
        <v>6</v>
      </c>
      <c r="AP138">
        <v>2</v>
      </c>
      <c r="AQ138">
        <v>4</v>
      </c>
      <c r="AR138">
        <v>4</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48</v>
      </c>
      <c r="F141" t="s">
        <v>49</v>
      </c>
      <c r="G141" t="s">
        <v>1077</v>
      </c>
      <c r="H141">
        <v>1399</v>
      </c>
      <c r="I141" t="s">
        <v>62</v>
      </c>
      <c r="J141" t="s">
        <v>52</v>
      </c>
      <c r="K141" t="s">
        <v>64</v>
      </c>
      <c r="L141" t="s">
        <v>56</v>
      </c>
      <c r="M141" t="s">
        <v>54</v>
      </c>
      <c r="N141">
        <v>3</v>
      </c>
      <c r="O141">
        <v>-2</v>
      </c>
      <c r="P141">
        <v>0</v>
      </c>
      <c r="Q141">
        <v>25</v>
      </c>
      <c r="R141">
        <v>0</v>
      </c>
      <c r="T141">
        <v>0</v>
      </c>
      <c r="U141">
        <v>1</v>
      </c>
      <c r="V141">
        <v>1372</v>
      </c>
      <c r="W141">
        <v>18</v>
      </c>
      <c r="X141" t="s">
        <v>65</v>
      </c>
      <c r="Y141">
        <v>1</v>
      </c>
      <c r="Z141">
        <v>1</v>
      </c>
      <c r="AA141">
        <v>93</v>
      </c>
      <c r="AB141">
        <v>4</v>
      </c>
      <c r="AC141">
        <v>2</v>
      </c>
      <c r="AD141">
        <v>3</v>
      </c>
      <c r="AE141">
        <v>6232</v>
      </c>
      <c r="AF141">
        <v>12477</v>
      </c>
      <c r="AG141">
        <v>2</v>
      </c>
      <c r="AH141">
        <v>11</v>
      </c>
      <c r="AI141">
        <v>3</v>
      </c>
      <c r="AJ141">
        <v>2</v>
      </c>
      <c r="AK141">
        <v>80</v>
      </c>
      <c r="AL141">
        <v>0</v>
      </c>
      <c r="AM141">
        <v>6</v>
      </c>
      <c r="AN141">
        <v>2</v>
      </c>
      <c r="AO141">
        <v>3</v>
      </c>
      <c r="AP141">
        <v>2</v>
      </c>
      <c r="AQ141">
        <v>1</v>
      </c>
      <c r="AR141">
        <v>2</v>
      </c>
    </row>
    <row r="142" spans="1:44" x14ac:dyDescent="0.35">
      <c r="A142" t="s">
        <v>56</v>
      </c>
      <c r="B142" t="s">
        <v>45</v>
      </c>
      <c r="C142" t="s">
        <v>69</v>
      </c>
      <c r="D142" t="s">
        <v>59</v>
      </c>
      <c r="E142" t="s">
        <v>48</v>
      </c>
      <c r="F142" t="s">
        <v>106</v>
      </c>
      <c r="G142" t="s">
        <v>1075</v>
      </c>
      <c r="H142">
        <v>1396</v>
      </c>
      <c r="I142" t="s">
        <v>62</v>
      </c>
      <c r="J142" t="s">
        <v>52</v>
      </c>
      <c r="K142" t="s">
        <v>64</v>
      </c>
      <c r="L142" t="s">
        <v>44</v>
      </c>
      <c r="M142" t="s">
        <v>54</v>
      </c>
      <c r="N142">
        <v>3</v>
      </c>
      <c r="O142">
        <v>-2</v>
      </c>
      <c r="P142">
        <v>0</v>
      </c>
      <c r="Q142">
        <v>32</v>
      </c>
      <c r="R142">
        <v>0</v>
      </c>
      <c r="T142">
        <v>0</v>
      </c>
      <c r="U142">
        <v>1</v>
      </c>
      <c r="V142">
        <v>499</v>
      </c>
      <c r="W142">
        <v>2</v>
      </c>
      <c r="X142" t="s">
        <v>65</v>
      </c>
      <c r="Y142">
        <v>1</v>
      </c>
      <c r="Z142">
        <v>3</v>
      </c>
      <c r="AA142">
        <v>36</v>
      </c>
      <c r="AB142">
        <v>3</v>
      </c>
      <c r="AC142">
        <v>2</v>
      </c>
      <c r="AD142">
        <v>2</v>
      </c>
      <c r="AE142">
        <v>4078</v>
      </c>
      <c r="AF142">
        <v>20497</v>
      </c>
      <c r="AG142">
        <v>0</v>
      </c>
      <c r="AH142">
        <v>13</v>
      </c>
      <c r="AI142">
        <v>3</v>
      </c>
      <c r="AJ142">
        <v>1</v>
      </c>
      <c r="AK142">
        <v>80</v>
      </c>
      <c r="AL142">
        <v>3</v>
      </c>
      <c r="AM142">
        <v>4</v>
      </c>
      <c r="AN142">
        <v>2</v>
      </c>
      <c r="AO142">
        <v>3</v>
      </c>
      <c r="AP142">
        <v>2</v>
      </c>
      <c r="AQ142">
        <v>1</v>
      </c>
      <c r="AR142">
        <v>2</v>
      </c>
    </row>
    <row r="143" spans="1:44" x14ac:dyDescent="0.35">
      <c r="A143" t="s">
        <v>56</v>
      </c>
      <c r="B143" t="s">
        <v>57</v>
      </c>
      <c r="C143" t="s">
        <v>69</v>
      </c>
      <c r="D143" t="s">
        <v>59</v>
      </c>
      <c r="E143" t="s">
        <v>48</v>
      </c>
      <c r="F143" t="s">
        <v>49</v>
      </c>
      <c r="G143" t="s">
        <v>1074</v>
      </c>
      <c r="H143">
        <v>1395</v>
      </c>
      <c r="I143" t="s">
        <v>62</v>
      </c>
      <c r="J143" t="s">
        <v>52</v>
      </c>
      <c r="K143" t="s">
        <v>64</v>
      </c>
      <c r="L143" t="s">
        <v>56</v>
      </c>
      <c r="M143" t="s">
        <v>54</v>
      </c>
      <c r="N143">
        <v>2</v>
      </c>
      <c r="O143">
        <v>-2</v>
      </c>
      <c r="P143">
        <v>0</v>
      </c>
      <c r="Q143">
        <v>33</v>
      </c>
      <c r="R143">
        <v>0</v>
      </c>
      <c r="T143">
        <v>0</v>
      </c>
      <c r="U143">
        <v>1</v>
      </c>
      <c r="V143">
        <v>1111</v>
      </c>
      <c r="W143">
        <v>5</v>
      </c>
      <c r="X143" t="s">
        <v>65</v>
      </c>
      <c r="Y143">
        <v>1</v>
      </c>
      <c r="Z143">
        <v>2</v>
      </c>
      <c r="AA143">
        <v>61</v>
      </c>
      <c r="AB143">
        <v>3</v>
      </c>
      <c r="AC143">
        <v>2</v>
      </c>
      <c r="AD143">
        <v>4</v>
      </c>
      <c r="AE143">
        <v>9998</v>
      </c>
      <c r="AF143">
        <v>19293</v>
      </c>
      <c r="AG143">
        <v>6</v>
      </c>
      <c r="AH143">
        <v>13</v>
      </c>
      <c r="AI143">
        <v>3</v>
      </c>
      <c r="AJ143">
        <v>1</v>
      </c>
      <c r="AK143">
        <v>80</v>
      </c>
      <c r="AL143">
        <v>0</v>
      </c>
      <c r="AM143">
        <v>8</v>
      </c>
      <c r="AN143">
        <v>4</v>
      </c>
      <c r="AO143">
        <v>5</v>
      </c>
      <c r="AP143">
        <v>4</v>
      </c>
      <c r="AQ143">
        <v>1</v>
      </c>
      <c r="AR143">
        <v>2</v>
      </c>
    </row>
    <row r="144" spans="1:44" x14ac:dyDescent="0.35">
      <c r="A144" t="s">
        <v>56</v>
      </c>
      <c r="B144" t="s">
        <v>57</v>
      </c>
      <c r="C144" t="s">
        <v>58</v>
      </c>
      <c r="D144" t="s">
        <v>59</v>
      </c>
      <c r="E144" t="s">
        <v>48</v>
      </c>
      <c r="F144" t="s">
        <v>106</v>
      </c>
      <c r="G144" t="s">
        <v>1071</v>
      </c>
      <c r="H144">
        <v>1391</v>
      </c>
      <c r="I144" t="s">
        <v>62</v>
      </c>
      <c r="J144" t="s">
        <v>52</v>
      </c>
      <c r="K144" t="s">
        <v>64</v>
      </c>
      <c r="L144" t="s">
        <v>56</v>
      </c>
      <c r="M144" t="s">
        <v>54</v>
      </c>
      <c r="N144">
        <v>5</v>
      </c>
      <c r="O144">
        <v>-2</v>
      </c>
      <c r="P144">
        <v>0</v>
      </c>
      <c r="Q144">
        <v>51</v>
      </c>
      <c r="R144">
        <v>0</v>
      </c>
      <c r="T144">
        <v>0</v>
      </c>
      <c r="U144">
        <v>1</v>
      </c>
      <c r="V144">
        <v>541</v>
      </c>
      <c r="W144">
        <v>2</v>
      </c>
      <c r="X144" t="s">
        <v>77</v>
      </c>
      <c r="Y144">
        <v>1</v>
      </c>
      <c r="Z144">
        <v>2</v>
      </c>
      <c r="AA144">
        <v>52</v>
      </c>
      <c r="AB144">
        <v>3</v>
      </c>
      <c r="AC144">
        <v>3</v>
      </c>
      <c r="AD144">
        <v>2</v>
      </c>
      <c r="AE144">
        <v>10596</v>
      </c>
      <c r="AF144">
        <v>15395</v>
      </c>
      <c r="AG144">
        <v>2</v>
      </c>
      <c r="AH144">
        <v>11</v>
      </c>
      <c r="AI144">
        <v>3</v>
      </c>
      <c r="AJ144">
        <v>2</v>
      </c>
      <c r="AK144">
        <v>80</v>
      </c>
      <c r="AL144">
        <v>0</v>
      </c>
      <c r="AM144">
        <v>14</v>
      </c>
      <c r="AN144">
        <v>3</v>
      </c>
      <c r="AO144">
        <v>4</v>
      </c>
      <c r="AP144">
        <v>2</v>
      </c>
      <c r="AQ144">
        <v>3</v>
      </c>
      <c r="AR144">
        <v>2</v>
      </c>
    </row>
    <row r="145" spans="1:44" x14ac:dyDescent="0.35">
      <c r="A145" t="s">
        <v>56</v>
      </c>
      <c r="B145" t="s">
        <v>45</v>
      </c>
      <c r="C145" t="s">
        <v>46</v>
      </c>
      <c r="D145" t="s">
        <v>59</v>
      </c>
      <c r="E145" t="s">
        <v>48</v>
      </c>
      <c r="F145" t="s">
        <v>49</v>
      </c>
      <c r="G145" t="s">
        <v>1070</v>
      </c>
      <c r="H145">
        <v>1390</v>
      </c>
      <c r="I145" t="s">
        <v>62</v>
      </c>
      <c r="J145" t="s">
        <v>52</v>
      </c>
      <c r="K145" t="s">
        <v>64</v>
      </c>
      <c r="L145" t="s">
        <v>44</v>
      </c>
      <c r="M145" t="s">
        <v>54</v>
      </c>
      <c r="N145">
        <v>2</v>
      </c>
      <c r="O145">
        <v>-2</v>
      </c>
      <c r="P145">
        <v>0</v>
      </c>
      <c r="Q145">
        <v>39</v>
      </c>
      <c r="R145">
        <v>0</v>
      </c>
      <c r="T145">
        <v>0</v>
      </c>
      <c r="U145">
        <v>1</v>
      </c>
      <c r="V145">
        <v>1498</v>
      </c>
      <c r="W145">
        <v>21</v>
      </c>
      <c r="X145" t="s">
        <v>71</v>
      </c>
      <c r="Y145">
        <v>1</v>
      </c>
      <c r="Z145">
        <v>1</v>
      </c>
      <c r="AA145">
        <v>44</v>
      </c>
      <c r="AB145">
        <v>2</v>
      </c>
      <c r="AC145">
        <v>2</v>
      </c>
      <c r="AD145">
        <v>4</v>
      </c>
      <c r="AE145">
        <v>6120</v>
      </c>
      <c r="AF145">
        <v>3567</v>
      </c>
      <c r="AG145">
        <v>3</v>
      </c>
      <c r="AH145">
        <v>12</v>
      </c>
      <c r="AI145">
        <v>3</v>
      </c>
      <c r="AJ145">
        <v>4</v>
      </c>
      <c r="AK145">
        <v>80</v>
      </c>
      <c r="AL145">
        <v>2</v>
      </c>
      <c r="AM145">
        <v>8</v>
      </c>
      <c r="AN145">
        <v>4</v>
      </c>
      <c r="AO145">
        <v>5</v>
      </c>
      <c r="AP145">
        <v>4</v>
      </c>
      <c r="AQ145">
        <v>1</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48</v>
      </c>
      <c r="F147" t="s">
        <v>49</v>
      </c>
      <c r="G147" t="s">
        <v>1068</v>
      </c>
      <c r="H147">
        <v>1387</v>
      </c>
      <c r="I147" t="s">
        <v>62</v>
      </c>
      <c r="J147" t="s">
        <v>52</v>
      </c>
      <c r="K147" t="s">
        <v>64</v>
      </c>
      <c r="L147" t="s">
        <v>56</v>
      </c>
      <c r="M147" t="s">
        <v>54</v>
      </c>
      <c r="N147">
        <v>0</v>
      </c>
      <c r="O147">
        <v>-2</v>
      </c>
      <c r="P147">
        <v>0</v>
      </c>
      <c r="Q147">
        <v>28</v>
      </c>
      <c r="R147">
        <v>0</v>
      </c>
      <c r="T147">
        <v>0</v>
      </c>
      <c r="U147">
        <v>1</v>
      </c>
      <c r="V147">
        <v>736</v>
      </c>
      <c r="W147">
        <v>26</v>
      </c>
      <c r="X147" t="s">
        <v>77</v>
      </c>
      <c r="Y147">
        <v>1</v>
      </c>
      <c r="Z147">
        <v>3</v>
      </c>
      <c r="AA147">
        <v>48</v>
      </c>
      <c r="AB147">
        <v>2</v>
      </c>
      <c r="AC147">
        <v>2</v>
      </c>
      <c r="AD147">
        <v>3</v>
      </c>
      <c r="AE147">
        <v>4724</v>
      </c>
      <c r="AF147">
        <v>24232</v>
      </c>
      <c r="AG147">
        <v>1</v>
      </c>
      <c r="AH147">
        <v>11</v>
      </c>
      <c r="AI147">
        <v>3</v>
      </c>
      <c r="AJ147">
        <v>3</v>
      </c>
      <c r="AK147">
        <v>80</v>
      </c>
      <c r="AL147">
        <v>1</v>
      </c>
      <c r="AM147">
        <v>5</v>
      </c>
      <c r="AN147">
        <v>3</v>
      </c>
      <c r="AO147">
        <v>5</v>
      </c>
      <c r="AP147">
        <v>3</v>
      </c>
      <c r="AQ147">
        <v>0</v>
      </c>
      <c r="AR147">
        <v>4</v>
      </c>
    </row>
    <row r="148" spans="1:44" x14ac:dyDescent="0.35">
      <c r="A148" t="s">
        <v>44</v>
      </c>
      <c r="B148" t="s">
        <v>57</v>
      </c>
      <c r="C148" t="s">
        <v>46</v>
      </c>
      <c r="D148" t="s">
        <v>47</v>
      </c>
      <c r="E148" t="s">
        <v>48</v>
      </c>
      <c r="F148" t="s">
        <v>106</v>
      </c>
      <c r="G148" t="s">
        <v>1065</v>
      </c>
      <c r="H148">
        <v>1380</v>
      </c>
      <c r="I148" t="s">
        <v>51</v>
      </c>
      <c r="J148" t="s">
        <v>52</v>
      </c>
      <c r="K148" t="s">
        <v>64</v>
      </c>
      <c r="L148" t="s">
        <v>44</v>
      </c>
      <c r="M148" t="s">
        <v>54</v>
      </c>
      <c r="N148">
        <v>0</v>
      </c>
      <c r="O148">
        <v>-2</v>
      </c>
      <c r="P148">
        <v>0</v>
      </c>
      <c r="Q148">
        <v>35</v>
      </c>
      <c r="R148">
        <v>1</v>
      </c>
      <c r="S148">
        <v>1</v>
      </c>
      <c r="T148">
        <v>1</v>
      </c>
      <c r="U148">
        <v>0</v>
      </c>
      <c r="V148">
        <v>662</v>
      </c>
      <c r="W148">
        <v>18</v>
      </c>
      <c r="X148" t="s">
        <v>71</v>
      </c>
      <c r="Y148">
        <v>1</v>
      </c>
      <c r="Z148">
        <v>4</v>
      </c>
      <c r="AA148">
        <v>67</v>
      </c>
      <c r="AB148">
        <v>3</v>
      </c>
      <c r="AC148">
        <v>2</v>
      </c>
      <c r="AD148">
        <v>2</v>
      </c>
      <c r="AE148">
        <v>4614</v>
      </c>
      <c r="AF148">
        <v>23288</v>
      </c>
      <c r="AG148">
        <v>0</v>
      </c>
      <c r="AH148">
        <v>18</v>
      </c>
      <c r="AI148">
        <v>3</v>
      </c>
      <c r="AJ148">
        <v>3</v>
      </c>
      <c r="AK148">
        <v>80</v>
      </c>
      <c r="AL148">
        <v>1</v>
      </c>
      <c r="AM148">
        <v>5</v>
      </c>
      <c r="AN148">
        <v>2</v>
      </c>
      <c r="AO148">
        <v>4</v>
      </c>
      <c r="AP148">
        <v>2</v>
      </c>
      <c r="AQ148">
        <v>3</v>
      </c>
      <c r="AR148">
        <v>2</v>
      </c>
    </row>
    <row r="149" spans="1:44" x14ac:dyDescent="0.35">
      <c r="A149" t="s">
        <v>44</v>
      </c>
      <c r="B149" t="s">
        <v>45</v>
      </c>
      <c r="C149" t="s">
        <v>75</v>
      </c>
      <c r="D149" t="s">
        <v>47</v>
      </c>
      <c r="E149" t="s">
        <v>48</v>
      </c>
      <c r="F149" t="s">
        <v>106</v>
      </c>
      <c r="G149" t="s">
        <v>1059</v>
      </c>
      <c r="H149">
        <v>1372</v>
      </c>
      <c r="I149" t="s">
        <v>62</v>
      </c>
      <c r="J149" t="s">
        <v>52</v>
      </c>
      <c r="K149" t="s">
        <v>53</v>
      </c>
      <c r="L149" t="s">
        <v>44</v>
      </c>
      <c r="M149" t="s">
        <v>54</v>
      </c>
      <c r="N149">
        <v>2</v>
      </c>
      <c r="O149">
        <v>-2</v>
      </c>
      <c r="P149">
        <v>0</v>
      </c>
      <c r="Q149">
        <v>55</v>
      </c>
      <c r="R149">
        <v>1</v>
      </c>
      <c r="S149">
        <v>1</v>
      </c>
      <c r="T149">
        <v>1</v>
      </c>
      <c r="U149">
        <v>0</v>
      </c>
      <c r="V149">
        <v>267</v>
      </c>
      <c r="W149">
        <v>13</v>
      </c>
      <c r="X149" t="s">
        <v>71</v>
      </c>
      <c r="Y149">
        <v>1</v>
      </c>
      <c r="Z149">
        <v>1</v>
      </c>
      <c r="AA149">
        <v>85</v>
      </c>
      <c r="AB149">
        <v>4</v>
      </c>
      <c r="AC149">
        <v>4</v>
      </c>
      <c r="AD149">
        <v>2</v>
      </c>
      <c r="AE149">
        <v>13695</v>
      </c>
      <c r="AF149">
        <v>9277</v>
      </c>
      <c r="AG149">
        <v>6</v>
      </c>
      <c r="AH149">
        <v>17</v>
      </c>
      <c r="AI149">
        <v>3</v>
      </c>
      <c r="AJ149">
        <v>3</v>
      </c>
      <c r="AK149">
        <v>80</v>
      </c>
      <c r="AL149">
        <v>0</v>
      </c>
      <c r="AM149">
        <v>24</v>
      </c>
      <c r="AN149">
        <v>2</v>
      </c>
      <c r="AO149">
        <v>19</v>
      </c>
      <c r="AP149">
        <v>7</v>
      </c>
      <c r="AQ149">
        <v>3</v>
      </c>
      <c r="AR149">
        <v>8</v>
      </c>
    </row>
    <row r="150" spans="1:44" x14ac:dyDescent="0.35">
      <c r="A150" t="s">
        <v>56</v>
      </c>
      <c r="B150" t="s">
        <v>57</v>
      </c>
      <c r="C150" t="s">
        <v>69</v>
      </c>
      <c r="D150" t="s">
        <v>59</v>
      </c>
      <c r="E150" t="s">
        <v>48</v>
      </c>
      <c r="F150" t="s">
        <v>49</v>
      </c>
      <c r="G150" t="s">
        <v>1058</v>
      </c>
      <c r="H150">
        <v>1371</v>
      </c>
      <c r="I150" t="s">
        <v>62</v>
      </c>
      <c r="J150" t="s">
        <v>52</v>
      </c>
      <c r="K150" t="s">
        <v>53</v>
      </c>
      <c r="L150" t="s">
        <v>56</v>
      </c>
      <c r="M150" t="s">
        <v>54</v>
      </c>
      <c r="N150">
        <v>3</v>
      </c>
      <c r="O150">
        <v>-2</v>
      </c>
      <c r="P150">
        <v>0</v>
      </c>
      <c r="Q150">
        <v>27</v>
      </c>
      <c r="R150">
        <v>0</v>
      </c>
      <c r="T150">
        <v>0</v>
      </c>
      <c r="U150">
        <v>1</v>
      </c>
      <c r="V150">
        <v>793</v>
      </c>
      <c r="W150">
        <v>2</v>
      </c>
      <c r="X150" t="s">
        <v>65</v>
      </c>
      <c r="Y150">
        <v>1</v>
      </c>
      <c r="Z150">
        <v>4</v>
      </c>
      <c r="AA150">
        <v>43</v>
      </c>
      <c r="AB150">
        <v>1</v>
      </c>
      <c r="AC150">
        <v>2</v>
      </c>
      <c r="AD150">
        <v>4</v>
      </c>
      <c r="AE150">
        <v>5071</v>
      </c>
      <c r="AF150">
        <v>20392</v>
      </c>
      <c r="AG150">
        <v>3</v>
      </c>
      <c r="AH150">
        <v>20</v>
      </c>
      <c r="AI150">
        <v>4</v>
      </c>
      <c r="AJ150">
        <v>2</v>
      </c>
      <c r="AK150">
        <v>80</v>
      </c>
      <c r="AL150">
        <v>0</v>
      </c>
      <c r="AM150">
        <v>8</v>
      </c>
      <c r="AN150">
        <v>3</v>
      </c>
      <c r="AO150">
        <v>6</v>
      </c>
      <c r="AP150">
        <v>2</v>
      </c>
      <c r="AQ150">
        <v>0</v>
      </c>
      <c r="AR150">
        <v>0</v>
      </c>
    </row>
    <row r="151" spans="1:44" x14ac:dyDescent="0.35">
      <c r="A151" t="s">
        <v>56</v>
      </c>
      <c r="B151" t="s">
        <v>57</v>
      </c>
      <c r="C151" t="s">
        <v>46</v>
      </c>
      <c r="D151" t="s">
        <v>59</v>
      </c>
      <c r="E151" t="s">
        <v>48</v>
      </c>
      <c r="F151" t="s">
        <v>106</v>
      </c>
      <c r="G151" t="s">
        <v>1052</v>
      </c>
      <c r="H151">
        <v>1362</v>
      </c>
      <c r="I151" t="s">
        <v>51</v>
      </c>
      <c r="J151" t="s">
        <v>52</v>
      </c>
      <c r="K151" t="s">
        <v>64</v>
      </c>
      <c r="L151" t="s">
        <v>56</v>
      </c>
      <c r="M151" t="s">
        <v>54</v>
      </c>
      <c r="N151">
        <v>2</v>
      </c>
      <c r="O151">
        <v>-2</v>
      </c>
      <c r="P151">
        <v>0</v>
      </c>
      <c r="Q151">
        <v>36</v>
      </c>
      <c r="R151">
        <v>0</v>
      </c>
      <c r="T151">
        <v>0</v>
      </c>
      <c r="U151">
        <v>1</v>
      </c>
      <c r="V151">
        <v>607</v>
      </c>
      <c r="W151">
        <v>7</v>
      </c>
      <c r="X151" t="s">
        <v>77</v>
      </c>
      <c r="Y151">
        <v>1</v>
      </c>
      <c r="Z151">
        <v>1</v>
      </c>
      <c r="AA151">
        <v>83</v>
      </c>
      <c r="AB151">
        <v>4</v>
      </c>
      <c r="AC151">
        <v>2</v>
      </c>
      <c r="AD151">
        <v>2</v>
      </c>
      <c r="AE151">
        <v>4639</v>
      </c>
      <c r="AF151">
        <v>2261</v>
      </c>
      <c r="AG151">
        <v>2</v>
      </c>
      <c r="AH151">
        <v>16</v>
      </c>
      <c r="AI151">
        <v>3</v>
      </c>
      <c r="AJ151">
        <v>4</v>
      </c>
      <c r="AK151">
        <v>80</v>
      </c>
      <c r="AL151">
        <v>1</v>
      </c>
      <c r="AM151">
        <v>17</v>
      </c>
      <c r="AN151">
        <v>2</v>
      </c>
      <c r="AO151">
        <v>15</v>
      </c>
      <c r="AP151">
        <v>7</v>
      </c>
      <c r="AQ151">
        <v>6</v>
      </c>
      <c r="AR151">
        <v>13</v>
      </c>
    </row>
    <row r="152" spans="1:44" x14ac:dyDescent="0.35">
      <c r="A152" t="s">
        <v>56</v>
      </c>
      <c r="B152" t="s">
        <v>45</v>
      </c>
      <c r="C152" t="s">
        <v>69</v>
      </c>
      <c r="D152" t="s">
        <v>59</v>
      </c>
      <c r="E152" t="s">
        <v>48</v>
      </c>
      <c r="F152" t="s">
        <v>72</v>
      </c>
      <c r="G152" t="s">
        <v>1048</v>
      </c>
      <c r="H152">
        <v>1356</v>
      </c>
      <c r="I152" t="s">
        <v>51</v>
      </c>
      <c r="J152" t="s">
        <v>52</v>
      </c>
      <c r="K152" t="s">
        <v>53</v>
      </c>
      <c r="L152" t="s">
        <v>56</v>
      </c>
      <c r="M152" t="s">
        <v>54</v>
      </c>
      <c r="N152">
        <v>6</v>
      </c>
      <c r="O152">
        <v>-2</v>
      </c>
      <c r="P152">
        <v>0</v>
      </c>
      <c r="Q152">
        <v>34</v>
      </c>
      <c r="R152">
        <v>0</v>
      </c>
      <c r="T152">
        <v>0</v>
      </c>
      <c r="U152">
        <v>1</v>
      </c>
      <c r="V152">
        <v>507</v>
      </c>
      <c r="W152">
        <v>15</v>
      </c>
      <c r="X152" t="s">
        <v>55</v>
      </c>
      <c r="Y152">
        <v>1</v>
      </c>
      <c r="Z152">
        <v>3</v>
      </c>
      <c r="AA152">
        <v>66</v>
      </c>
      <c r="AB152">
        <v>3</v>
      </c>
      <c r="AC152">
        <v>2</v>
      </c>
      <c r="AD152">
        <v>3</v>
      </c>
      <c r="AE152">
        <v>6125</v>
      </c>
      <c r="AF152">
        <v>23553</v>
      </c>
      <c r="AG152">
        <v>1</v>
      </c>
      <c r="AH152">
        <v>12</v>
      </c>
      <c r="AI152">
        <v>3</v>
      </c>
      <c r="AJ152">
        <v>4</v>
      </c>
      <c r="AK152">
        <v>80</v>
      </c>
      <c r="AL152">
        <v>0</v>
      </c>
      <c r="AM152">
        <v>10</v>
      </c>
      <c r="AN152">
        <v>4</v>
      </c>
      <c r="AO152">
        <v>10</v>
      </c>
      <c r="AP152">
        <v>8</v>
      </c>
      <c r="AQ152">
        <v>9</v>
      </c>
      <c r="AR152">
        <v>6</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46</v>
      </c>
      <c r="D154" t="s">
        <v>59</v>
      </c>
      <c r="E154" t="s">
        <v>48</v>
      </c>
      <c r="F154" t="s">
        <v>49</v>
      </c>
      <c r="G154" t="s">
        <v>1047</v>
      </c>
      <c r="H154">
        <v>1355</v>
      </c>
      <c r="I154" t="s">
        <v>51</v>
      </c>
      <c r="J154" t="s">
        <v>52</v>
      </c>
      <c r="K154" t="s">
        <v>79</v>
      </c>
      <c r="L154" t="s">
        <v>56</v>
      </c>
      <c r="M154" t="s">
        <v>54</v>
      </c>
      <c r="N154">
        <v>3</v>
      </c>
      <c r="O154">
        <v>-2</v>
      </c>
      <c r="P154">
        <v>0</v>
      </c>
      <c r="Q154">
        <v>38</v>
      </c>
      <c r="R154">
        <v>0</v>
      </c>
      <c r="T154">
        <v>0</v>
      </c>
      <c r="U154">
        <v>1</v>
      </c>
      <c r="V154">
        <v>1009</v>
      </c>
      <c r="W154">
        <v>2</v>
      </c>
      <c r="X154" t="s">
        <v>55</v>
      </c>
      <c r="Y154">
        <v>1</v>
      </c>
      <c r="Z154">
        <v>2</v>
      </c>
      <c r="AA154">
        <v>31</v>
      </c>
      <c r="AB154">
        <v>3</v>
      </c>
      <c r="AC154">
        <v>2</v>
      </c>
      <c r="AD154">
        <v>3</v>
      </c>
      <c r="AE154">
        <v>6893</v>
      </c>
      <c r="AF154">
        <v>19461</v>
      </c>
      <c r="AG154">
        <v>3</v>
      </c>
      <c r="AH154">
        <v>15</v>
      </c>
      <c r="AI154">
        <v>3</v>
      </c>
      <c r="AJ154">
        <v>4</v>
      </c>
      <c r="AK154">
        <v>80</v>
      </c>
      <c r="AL154">
        <v>1</v>
      </c>
      <c r="AM154">
        <v>11</v>
      </c>
      <c r="AN154">
        <v>3</v>
      </c>
      <c r="AO154">
        <v>7</v>
      </c>
      <c r="AP154">
        <v>7</v>
      </c>
      <c r="AQ154">
        <v>1</v>
      </c>
      <c r="AR154">
        <v>7</v>
      </c>
    </row>
    <row r="155" spans="1:44" x14ac:dyDescent="0.35">
      <c r="A155" t="s">
        <v>56</v>
      </c>
      <c r="B155" t="s">
        <v>57</v>
      </c>
      <c r="C155" t="s">
        <v>46</v>
      </c>
      <c r="D155" t="s">
        <v>59</v>
      </c>
      <c r="E155" t="s">
        <v>48</v>
      </c>
      <c r="F155" t="s">
        <v>106</v>
      </c>
      <c r="G155" t="s">
        <v>1044</v>
      </c>
      <c r="H155">
        <v>1349</v>
      </c>
      <c r="I155" t="s">
        <v>51</v>
      </c>
      <c r="J155" t="s">
        <v>52</v>
      </c>
      <c r="K155" t="s">
        <v>79</v>
      </c>
      <c r="L155" t="s">
        <v>56</v>
      </c>
      <c r="M155" t="s">
        <v>54</v>
      </c>
      <c r="N155">
        <v>2</v>
      </c>
      <c r="O155">
        <v>-2</v>
      </c>
      <c r="P155">
        <v>0</v>
      </c>
      <c r="Q155">
        <v>41</v>
      </c>
      <c r="R155">
        <v>0</v>
      </c>
      <c r="T155">
        <v>0</v>
      </c>
      <c r="U155">
        <v>1</v>
      </c>
      <c r="V155">
        <v>1018</v>
      </c>
      <c r="W155">
        <v>1</v>
      </c>
      <c r="X155" t="s">
        <v>77</v>
      </c>
      <c r="Y155">
        <v>1</v>
      </c>
      <c r="Z155">
        <v>3</v>
      </c>
      <c r="AA155">
        <v>66</v>
      </c>
      <c r="AB155">
        <v>3</v>
      </c>
      <c r="AC155">
        <v>2</v>
      </c>
      <c r="AD155">
        <v>2</v>
      </c>
      <c r="AE155">
        <v>4103</v>
      </c>
      <c r="AF155">
        <v>4297</v>
      </c>
      <c r="AG155">
        <v>0</v>
      </c>
      <c r="AH155">
        <v>17</v>
      </c>
      <c r="AI155">
        <v>3</v>
      </c>
      <c r="AJ155">
        <v>4</v>
      </c>
      <c r="AK155">
        <v>80</v>
      </c>
      <c r="AL155">
        <v>1</v>
      </c>
      <c r="AM155">
        <v>10</v>
      </c>
      <c r="AN155">
        <v>3</v>
      </c>
      <c r="AO155">
        <v>9</v>
      </c>
      <c r="AP155">
        <v>3</v>
      </c>
      <c r="AQ155">
        <v>1</v>
      </c>
      <c r="AR155">
        <v>7</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46</v>
      </c>
      <c r="D157" t="s">
        <v>59</v>
      </c>
      <c r="E157" t="s">
        <v>48</v>
      </c>
      <c r="F157" t="s">
        <v>72</v>
      </c>
      <c r="G157" t="s">
        <v>1035</v>
      </c>
      <c r="H157">
        <v>1329</v>
      </c>
      <c r="I157" t="s">
        <v>62</v>
      </c>
      <c r="J157" t="s">
        <v>52</v>
      </c>
      <c r="K157" t="s">
        <v>53</v>
      </c>
      <c r="L157" t="s">
        <v>56</v>
      </c>
      <c r="M157" t="s">
        <v>54</v>
      </c>
      <c r="N157">
        <v>4</v>
      </c>
      <c r="O157">
        <v>-2</v>
      </c>
      <c r="P157">
        <v>0</v>
      </c>
      <c r="Q157">
        <v>41</v>
      </c>
      <c r="R157">
        <v>0</v>
      </c>
      <c r="T157">
        <v>0</v>
      </c>
      <c r="U157">
        <v>1</v>
      </c>
      <c r="V157">
        <v>256</v>
      </c>
      <c r="W157">
        <v>10</v>
      </c>
      <c r="X157" t="s">
        <v>55</v>
      </c>
      <c r="Y157">
        <v>1</v>
      </c>
      <c r="Z157">
        <v>3</v>
      </c>
      <c r="AA157">
        <v>40</v>
      </c>
      <c r="AB157">
        <v>1</v>
      </c>
      <c r="AC157">
        <v>2</v>
      </c>
      <c r="AD157">
        <v>2</v>
      </c>
      <c r="AE157">
        <v>6151</v>
      </c>
      <c r="AF157">
        <v>22074</v>
      </c>
      <c r="AG157">
        <v>1</v>
      </c>
      <c r="AH157">
        <v>13</v>
      </c>
      <c r="AI157">
        <v>3</v>
      </c>
      <c r="AJ157">
        <v>1</v>
      </c>
      <c r="AK157">
        <v>80</v>
      </c>
      <c r="AL157">
        <v>0</v>
      </c>
      <c r="AM157">
        <v>19</v>
      </c>
      <c r="AN157">
        <v>3</v>
      </c>
      <c r="AO157">
        <v>19</v>
      </c>
      <c r="AP157">
        <v>2</v>
      </c>
      <c r="AQ157">
        <v>11</v>
      </c>
      <c r="AR157">
        <v>9</v>
      </c>
    </row>
    <row r="158" spans="1:44" x14ac:dyDescent="0.35">
      <c r="A158" t="s">
        <v>56</v>
      </c>
      <c r="B158" t="s">
        <v>91</v>
      </c>
      <c r="C158" t="s">
        <v>69</v>
      </c>
      <c r="D158" t="s">
        <v>59</v>
      </c>
      <c r="E158" t="s">
        <v>48</v>
      </c>
      <c r="F158" t="s">
        <v>49</v>
      </c>
      <c r="G158" t="s">
        <v>1034</v>
      </c>
      <c r="H158">
        <v>1324</v>
      </c>
      <c r="I158" t="s">
        <v>51</v>
      </c>
      <c r="J158" t="s">
        <v>52</v>
      </c>
      <c r="K158" t="s">
        <v>79</v>
      </c>
      <c r="L158" t="s">
        <v>44</v>
      </c>
      <c r="M158" t="s">
        <v>54</v>
      </c>
      <c r="N158">
        <v>5</v>
      </c>
      <c r="O158">
        <v>-2</v>
      </c>
      <c r="P158">
        <v>0</v>
      </c>
      <c r="Q158">
        <v>31</v>
      </c>
      <c r="R158">
        <v>0</v>
      </c>
      <c r="T158">
        <v>0</v>
      </c>
      <c r="U158">
        <v>1</v>
      </c>
      <c r="V158">
        <v>587</v>
      </c>
      <c r="W158">
        <v>2</v>
      </c>
      <c r="X158" t="s">
        <v>71</v>
      </c>
      <c r="Y158">
        <v>1</v>
      </c>
      <c r="Z158">
        <v>4</v>
      </c>
      <c r="AA158">
        <v>57</v>
      </c>
      <c r="AB158">
        <v>3</v>
      </c>
      <c r="AC158">
        <v>3</v>
      </c>
      <c r="AD158">
        <v>3</v>
      </c>
      <c r="AE158">
        <v>9852</v>
      </c>
      <c r="AF158">
        <v>8935</v>
      </c>
      <c r="AG158">
        <v>1</v>
      </c>
      <c r="AH158">
        <v>19</v>
      </c>
      <c r="AI158">
        <v>3</v>
      </c>
      <c r="AJ158">
        <v>1</v>
      </c>
      <c r="AK158">
        <v>80</v>
      </c>
      <c r="AL158">
        <v>1</v>
      </c>
      <c r="AM158">
        <v>10</v>
      </c>
      <c r="AN158">
        <v>2</v>
      </c>
      <c r="AO158">
        <v>10</v>
      </c>
      <c r="AP158">
        <v>8</v>
      </c>
      <c r="AQ158">
        <v>9</v>
      </c>
      <c r="AR158">
        <v>6</v>
      </c>
    </row>
    <row r="159" spans="1:44" x14ac:dyDescent="0.35">
      <c r="A159" t="s">
        <v>44</v>
      </c>
      <c r="B159" t="s">
        <v>45</v>
      </c>
      <c r="C159" t="s">
        <v>58</v>
      </c>
      <c r="D159" t="s">
        <v>47</v>
      </c>
      <c r="E159" t="s">
        <v>48</v>
      </c>
      <c r="F159" t="s">
        <v>49</v>
      </c>
      <c r="G159" t="s">
        <v>1031</v>
      </c>
      <c r="H159">
        <v>1319</v>
      </c>
      <c r="I159" t="s">
        <v>62</v>
      </c>
      <c r="J159" t="s">
        <v>52</v>
      </c>
      <c r="K159" t="s">
        <v>53</v>
      </c>
      <c r="L159" t="s">
        <v>44</v>
      </c>
      <c r="M159" t="s">
        <v>54</v>
      </c>
      <c r="N159">
        <v>2</v>
      </c>
      <c r="O159">
        <v>-2</v>
      </c>
      <c r="P159">
        <v>0</v>
      </c>
      <c r="Q159">
        <v>52</v>
      </c>
      <c r="R159">
        <v>1</v>
      </c>
      <c r="S159">
        <v>1</v>
      </c>
      <c r="T159">
        <v>1</v>
      </c>
      <c r="U159">
        <v>0</v>
      </c>
      <c r="V159">
        <v>1030</v>
      </c>
      <c r="W159">
        <v>5</v>
      </c>
      <c r="X159" t="s">
        <v>77</v>
      </c>
      <c r="Y159">
        <v>1</v>
      </c>
      <c r="Z159">
        <v>2</v>
      </c>
      <c r="AA159">
        <v>64</v>
      </c>
      <c r="AB159">
        <v>3</v>
      </c>
      <c r="AC159">
        <v>3</v>
      </c>
      <c r="AD159">
        <v>2</v>
      </c>
      <c r="AE159">
        <v>8446</v>
      </c>
      <c r="AF159">
        <v>21534</v>
      </c>
      <c r="AG159">
        <v>9</v>
      </c>
      <c r="AH159">
        <v>19</v>
      </c>
      <c r="AI159">
        <v>3</v>
      </c>
      <c r="AJ159">
        <v>3</v>
      </c>
      <c r="AK159">
        <v>80</v>
      </c>
      <c r="AL159">
        <v>0</v>
      </c>
      <c r="AM159">
        <v>10</v>
      </c>
      <c r="AN159">
        <v>2</v>
      </c>
      <c r="AO159">
        <v>8</v>
      </c>
      <c r="AP159">
        <v>7</v>
      </c>
      <c r="AQ159">
        <v>7</v>
      </c>
      <c r="AR159">
        <v>7</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44</v>
      </c>
      <c r="B161" t="s">
        <v>45</v>
      </c>
      <c r="C161" t="s">
        <v>46</v>
      </c>
      <c r="D161" t="s">
        <v>47</v>
      </c>
      <c r="E161" t="s">
        <v>48</v>
      </c>
      <c r="F161" t="s">
        <v>106</v>
      </c>
      <c r="G161" t="s">
        <v>1030</v>
      </c>
      <c r="H161">
        <v>1318</v>
      </c>
      <c r="I161" t="s">
        <v>62</v>
      </c>
      <c r="J161" t="s">
        <v>52</v>
      </c>
      <c r="K161" t="s">
        <v>53</v>
      </c>
      <c r="L161" t="s">
        <v>44</v>
      </c>
      <c r="M161" t="s">
        <v>54</v>
      </c>
      <c r="N161">
        <v>2</v>
      </c>
      <c r="O161">
        <v>-2</v>
      </c>
      <c r="P161">
        <v>0</v>
      </c>
      <c r="Q161">
        <v>40</v>
      </c>
      <c r="R161">
        <v>1</v>
      </c>
      <c r="S161">
        <v>1</v>
      </c>
      <c r="T161">
        <v>1</v>
      </c>
      <c r="U161">
        <v>0</v>
      </c>
      <c r="V161">
        <v>299</v>
      </c>
      <c r="W161">
        <v>25</v>
      </c>
      <c r="X161" t="s">
        <v>71</v>
      </c>
      <c r="Y161">
        <v>1</v>
      </c>
      <c r="Z161">
        <v>4</v>
      </c>
      <c r="AA161">
        <v>57</v>
      </c>
      <c r="AB161">
        <v>2</v>
      </c>
      <c r="AC161">
        <v>3</v>
      </c>
      <c r="AD161">
        <v>2</v>
      </c>
      <c r="AE161">
        <v>9094</v>
      </c>
      <c r="AF161">
        <v>17235</v>
      </c>
      <c r="AG161">
        <v>2</v>
      </c>
      <c r="AH161">
        <v>12</v>
      </c>
      <c r="AI161">
        <v>3</v>
      </c>
      <c r="AJ161">
        <v>3</v>
      </c>
      <c r="AK161">
        <v>80</v>
      </c>
      <c r="AL161">
        <v>0</v>
      </c>
      <c r="AM161">
        <v>9</v>
      </c>
      <c r="AN161">
        <v>3</v>
      </c>
      <c r="AO161">
        <v>5</v>
      </c>
      <c r="AP161">
        <v>4</v>
      </c>
      <c r="AQ161">
        <v>1</v>
      </c>
      <c r="AR161">
        <v>0</v>
      </c>
    </row>
    <row r="162" spans="1:44" x14ac:dyDescent="0.35">
      <c r="A162" t="s">
        <v>56</v>
      </c>
      <c r="B162" t="s">
        <v>45</v>
      </c>
      <c r="C162" t="s">
        <v>69</v>
      </c>
      <c r="D162" t="s">
        <v>59</v>
      </c>
      <c r="E162" t="s">
        <v>48</v>
      </c>
      <c r="F162" t="s">
        <v>72</v>
      </c>
      <c r="G162" t="s">
        <v>1019</v>
      </c>
      <c r="H162">
        <v>1304</v>
      </c>
      <c r="I162" t="s">
        <v>62</v>
      </c>
      <c r="J162" t="s">
        <v>52</v>
      </c>
      <c r="K162" t="s">
        <v>64</v>
      </c>
      <c r="L162" t="s">
        <v>56</v>
      </c>
      <c r="M162" t="s">
        <v>54</v>
      </c>
      <c r="N162">
        <v>4</v>
      </c>
      <c r="O162">
        <v>-2</v>
      </c>
      <c r="P162">
        <v>0</v>
      </c>
      <c r="Q162">
        <v>32</v>
      </c>
      <c r="R162">
        <v>0</v>
      </c>
      <c r="T162">
        <v>0</v>
      </c>
      <c r="U162">
        <v>1</v>
      </c>
      <c r="V162">
        <v>604</v>
      </c>
      <c r="W162">
        <v>8</v>
      </c>
      <c r="X162" t="s">
        <v>77</v>
      </c>
      <c r="Y162">
        <v>1</v>
      </c>
      <c r="Z162">
        <v>3</v>
      </c>
      <c r="AA162">
        <v>56</v>
      </c>
      <c r="AB162">
        <v>4</v>
      </c>
      <c r="AC162">
        <v>2</v>
      </c>
      <c r="AD162">
        <v>4</v>
      </c>
      <c r="AE162">
        <v>6209</v>
      </c>
      <c r="AF162">
        <v>11693</v>
      </c>
      <c r="AG162">
        <v>1</v>
      </c>
      <c r="AH162">
        <v>15</v>
      </c>
      <c r="AI162">
        <v>3</v>
      </c>
      <c r="AJ162">
        <v>3</v>
      </c>
      <c r="AK162">
        <v>80</v>
      </c>
      <c r="AL162">
        <v>2</v>
      </c>
      <c r="AM162">
        <v>10</v>
      </c>
      <c r="AN162">
        <v>4</v>
      </c>
      <c r="AO162">
        <v>10</v>
      </c>
      <c r="AP162">
        <v>7</v>
      </c>
      <c r="AQ162">
        <v>0</v>
      </c>
      <c r="AR162">
        <v>8</v>
      </c>
    </row>
    <row r="163" spans="1:44" x14ac:dyDescent="0.35">
      <c r="A163" t="s">
        <v>56</v>
      </c>
      <c r="B163" t="s">
        <v>45</v>
      </c>
      <c r="C163" t="s">
        <v>46</v>
      </c>
      <c r="D163" t="s">
        <v>59</v>
      </c>
      <c r="E163" t="s">
        <v>48</v>
      </c>
      <c r="F163" t="s">
        <v>106</v>
      </c>
      <c r="G163" t="s">
        <v>1010</v>
      </c>
      <c r="H163">
        <v>1293</v>
      </c>
      <c r="I163" t="s">
        <v>51</v>
      </c>
      <c r="J163" t="s">
        <v>52</v>
      </c>
      <c r="K163" t="s">
        <v>53</v>
      </c>
      <c r="L163" t="s">
        <v>56</v>
      </c>
      <c r="M163" t="s">
        <v>54</v>
      </c>
      <c r="N163">
        <v>3</v>
      </c>
      <c r="O163">
        <v>-2</v>
      </c>
      <c r="P163">
        <v>0</v>
      </c>
      <c r="Q163">
        <v>43</v>
      </c>
      <c r="R163">
        <v>0</v>
      </c>
      <c r="T163">
        <v>0</v>
      </c>
      <c r="U163">
        <v>1</v>
      </c>
      <c r="V163">
        <v>531</v>
      </c>
      <c r="W163">
        <v>4</v>
      </c>
      <c r="X163" t="s">
        <v>71</v>
      </c>
      <c r="Y163">
        <v>1</v>
      </c>
      <c r="Z163">
        <v>4</v>
      </c>
      <c r="AA163">
        <v>56</v>
      </c>
      <c r="AB163">
        <v>2</v>
      </c>
      <c r="AC163">
        <v>3</v>
      </c>
      <c r="AD163">
        <v>2</v>
      </c>
      <c r="AE163">
        <v>10231</v>
      </c>
      <c r="AF163">
        <v>20364</v>
      </c>
      <c r="AG163">
        <v>3</v>
      </c>
      <c r="AH163">
        <v>14</v>
      </c>
      <c r="AI163">
        <v>3</v>
      </c>
      <c r="AJ163">
        <v>4</v>
      </c>
      <c r="AK163">
        <v>80</v>
      </c>
      <c r="AL163">
        <v>0</v>
      </c>
      <c r="AM163">
        <v>23</v>
      </c>
      <c r="AN163">
        <v>4</v>
      </c>
      <c r="AO163">
        <v>21</v>
      </c>
      <c r="AP163">
        <v>7</v>
      </c>
      <c r="AQ163">
        <v>15</v>
      </c>
      <c r="AR163">
        <v>17</v>
      </c>
    </row>
    <row r="164" spans="1:44" x14ac:dyDescent="0.35">
      <c r="A164" t="s">
        <v>56</v>
      </c>
      <c r="B164" t="s">
        <v>45</v>
      </c>
      <c r="C164" t="s">
        <v>69</v>
      </c>
      <c r="D164" t="s">
        <v>59</v>
      </c>
      <c r="E164" t="s">
        <v>48</v>
      </c>
      <c r="F164" t="s">
        <v>106</v>
      </c>
      <c r="G164" t="s">
        <v>1001</v>
      </c>
      <c r="H164">
        <v>1281</v>
      </c>
      <c r="I164" t="s">
        <v>51</v>
      </c>
      <c r="J164" t="s">
        <v>52</v>
      </c>
      <c r="K164" t="s">
        <v>53</v>
      </c>
      <c r="L164" t="s">
        <v>44</v>
      </c>
      <c r="M164" t="s">
        <v>54</v>
      </c>
      <c r="N164">
        <v>3</v>
      </c>
      <c r="O164">
        <v>-2</v>
      </c>
      <c r="P164">
        <v>0</v>
      </c>
      <c r="Q164">
        <v>34</v>
      </c>
      <c r="R164">
        <v>0</v>
      </c>
      <c r="T164">
        <v>0</v>
      </c>
      <c r="U164">
        <v>1</v>
      </c>
      <c r="V164">
        <v>131</v>
      </c>
      <c r="W164">
        <v>2</v>
      </c>
      <c r="X164" t="s">
        <v>77</v>
      </c>
      <c r="Y164">
        <v>1</v>
      </c>
      <c r="Z164">
        <v>3</v>
      </c>
      <c r="AA164">
        <v>86</v>
      </c>
      <c r="AB164">
        <v>3</v>
      </c>
      <c r="AC164">
        <v>2</v>
      </c>
      <c r="AD164">
        <v>2</v>
      </c>
      <c r="AE164">
        <v>4538</v>
      </c>
      <c r="AF164">
        <v>6039</v>
      </c>
      <c r="AG164">
        <v>0</v>
      </c>
      <c r="AH164">
        <v>12</v>
      </c>
      <c r="AI164">
        <v>3</v>
      </c>
      <c r="AJ164">
        <v>4</v>
      </c>
      <c r="AK164">
        <v>80</v>
      </c>
      <c r="AL164">
        <v>0</v>
      </c>
      <c r="AM164">
        <v>4</v>
      </c>
      <c r="AN164">
        <v>3</v>
      </c>
      <c r="AO164">
        <v>3</v>
      </c>
      <c r="AP164">
        <v>2</v>
      </c>
      <c r="AQ164">
        <v>0</v>
      </c>
      <c r="AR164">
        <v>2</v>
      </c>
    </row>
    <row r="165" spans="1:44" x14ac:dyDescent="0.35">
      <c r="A165" t="s">
        <v>56</v>
      </c>
      <c r="B165" t="s">
        <v>45</v>
      </c>
      <c r="C165" t="s">
        <v>69</v>
      </c>
      <c r="D165" t="s">
        <v>59</v>
      </c>
      <c r="E165" t="s">
        <v>48</v>
      </c>
      <c r="F165" t="s">
        <v>106</v>
      </c>
      <c r="G165" t="s">
        <v>992</v>
      </c>
      <c r="H165">
        <v>1268</v>
      </c>
      <c r="I165" t="s">
        <v>62</v>
      </c>
      <c r="J165" t="s">
        <v>52</v>
      </c>
      <c r="K165" t="s">
        <v>79</v>
      </c>
      <c r="L165" t="s">
        <v>44</v>
      </c>
      <c r="M165" t="s">
        <v>54</v>
      </c>
      <c r="N165">
        <v>3</v>
      </c>
      <c r="O165">
        <v>-2</v>
      </c>
      <c r="P165">
        <v>0</v>
      </c>
      <c r="Q165">
        <v>33</v>
      </c>
      <c r="R165">
        <v>0</v>
      </c>
      <c r="T165">
        <v>0</v>
      </c>
      <c r="U165">
        <v>1</v>
      </c>
      <c r="V165">
        <v>536</v>
      </c>
      <c r="W165">
        <v>10</v>
      </c>
      <c r="X165" t="s">
        <v>134</v>
      </c>
      <c r="Y165">
        <v>1</v>
      </c>
      <c r="Z165">
        <v>4</v>
      </c>
      <c r="AA165">
        <v>82</v>
      </c>
      <c r="AB165">
        <v>4</v>
      </c>
      <c r="AC165">
        <v>3</v>
      </c>
      <c r="AD165">
        <v>2</v>
      </c>
      <c r="AE165">
        <v>8380</v>
      </c>
      <c r="AF165">
        <v>21708</v>
      </c>
      <c r="AG165">
        <v>0</v>
      </c>
      <c r="AH165">
        <v>14</v>
      </c>
      <c r="AI165">
        <v>3</v>
      </c>
      <c r="AJ165">
        <v>4</v>
      </c>
      <c r="AK165">
        <v>80</v>
      </c>
      <c r="AL165">
        <v>2</v>
      </c>
      <c r="AM165">
        <v>10</v>
      </c>
      <c r="AN165">
        <v>3</v>
      </c>
      <c r="AO165">
        <v>9</v>
      </c>
      <c r="AP165">
        <v>8</v>
      </c>
      <c r="AQ165">
        <v>0</v>
      </c>
      <c r="AR165">
        <v>8</v>
      </c>
    </row>
    <row r="166" spans="1:44" x14ac:dyDescent="0.35">
      <c r="A166" t="s">
        <v>56</v>
      </c>
      <c r="B166" t="s">
        <v>45</v>
      </c>
      <c r="C166" t="s">
        <v>75</v>
      </c>
      <c r="D166" t="s">
        <v>59</v>
      </c>
      <c r="E166" t="s">
        <v>48</v>
      </c>
      <c r="F166" t="s">
        <v>49</v>
      </c>
      <c r="G166" t="s">
        <v>981</v>
      </c>
      <c r="H166">
        <v>1254</v>
      </c>
      <c r="I166" t="s">
        <v>51</v>
      </c>
      <c r="J166" t="s">
        <v>52</v>
      </c>
      <c r="K166" t="s">
        <v>53</v>
      </c>
      <c r="L166" t="s">
        <v>56</v>
      </c>
      <c r="M166" t="s">
        <v>54</v>
      </c>
      <c r="N166">
        <v>2</v>
      </c>
      <c r="O166">
        <v>-2</v>
      </c>
      <c r="P166">
        <v>0</v>
      </c>
      <c r="Q166">
        <v>59</v>
      </c>
      <c r="R166">
        <v>0</v>
      </c>
      <c r="T166">
        <v>0</v>
      </c>
      <c r="U166">
        <v>1</v>
      </c>
      <c r="V166">
        <v>326</v>
      </c>
      <c r="W166">
        <v>3</v>
      </c>
      <c r="X166" t="s">
        <v>77</v>
      </c>
      <c r="Y166">
        <v>1</v>
      </c>
      <c r="Z166">
        <v>3</v>
      </c>
      <c r="AA166">
        <v>48</v>
      </c>
      <c r="AB166">
        <v>2</v>
      </c>
      <c r="AC166">
        <v>2</v>
      </c>
      <c r="AD166">
        <v>1</v>
      </c>
      <c r="AE166">
        <v>5171</v>
      </c>
      <c r="AF166">
        <v>16490</v>
      </c>
      <c r="AG166">
        <v>5</v>
      </c>
      <c r="AH166">
        <v>17</v>
      </c>
      <c r="AI166">
        <v>3</v>
      </c>
      <c r="AJ166">
        <v>4</v>
      </c>
      <c r="AK166">
        <v>80</v>
      </c>
      <c r="AL166">
        <v>0</v>
      </c>
      <c r="AM166">
        <v>13</v>
      </c>
      <c r="AN166">
        <v>3</v>
      </c>
      <c r="AO166">
        <v>6</v>
      </c>
      <c r="AP166">
        <v>1</v>
      </c>
      <c r="AQ166">
        <v>0</v>
      </c>
      <c r="AR166">
        <v>5</v>
      </c>
    </row>
    <row r="167" spans="1:44" x14ac:dyDescent="0.35">
      <c r="A167" t="s">
        <v>56</v>
      </c>
      <c r="B167" t="s">
        <v>91</v>
      </c>
      <c r="C167" t="s">
        <v>46</v>
      </c>
      <c r="D167" t="s">
        <v>59</v>
      </c>
      <c r="E167" t="s">
        <v>48</v>
      </c>
      <c r="F167" t="s">
        <v>106</v>
      </c>
      <c r="G167" t="s">
        <v>972</v>
      </c>
      <c r="H167">
        <v>1243</v>
      </c>
      <c r="I167" t="s">
        <v>51</v>
      </c>
      <c r="J167" t="s">
        <v>52</v>
      </c>
      <c r="K167" t="s">
        <v>64</v>
      </c>
      <c r="L167" t="s">
        <v>44</v>
      </c>
      <c r="M167" t="s">
        <v>54</v>
      </c>
      <c r="N167">
        <v>6</v>
      </c>
      <c r="O167">
        <v>-2</v>
      </c>
      <c r="P167">
        <v>0</v>
      </c>
      <c r="Q167">
        <v>35</v>
      </c>
      <c r="R167">
        <v>0</v>
      </c>
      <c r="T167">
        <v>0</v>
      </c>
      <c r="U167">
        <v>1</v>
      </c>
      <c r="V167">
        <v>1212</v>
      </c>
      <c r="W167">
        <v>8</v>
      </c>
      <c r="X167" t="s">
        <v>55</v>
      </c>
      <c r="Y167">
        <v>1</v>
      </c>
      <c r="Z167">
        <v>3</v>
      </c>
      <c r="AA167">
        <v>78</v>
      </c>
      <c r="AB167">
        <v>2</v>
      </c>
      <c r="AC167">
        <v>3</v>
      </c>
      <c r="AD167">
        <v>2</v>
      </c>
      <c r="AE167">
        <v>10377</v>
      </c>
      <c r="AF167">
        <v>13755</v>
      </c>
      <c r="AG167">
        <v>4</v>
      </c>
      <c r="AH167">
        <v>11</v>
      </c>
      <c r="AI167">
        <v>3</v>
      </c>
      <c r="AJ167">
        <v>2</v>
      </c>
      <c r="AK167">
        <v>80</v>
      </c>
      <c r="AL167">
        <v>1</v>
      </c>
      <c r="AM167">
        <v>16</v>
      </c>
      <c r="AN167">
        <v>2</v>
      </c>
      <c r="AO167">
        <v>13</v>
      </c>
      <c r="AP167">
        <v>2</v>
      </c>
      <c r="AQ167">
        <v>4</v>
      </c>
      <c r="AR167">
        <v>12</v>
      </c>
    </row>
    <row r="168" spans="1:44" x14ac:dyDescent="0.35">
      <c r="A168" t="s">
        <v>56</v>
      </c>
      <c r="B168" t="s">
        <v>45</v>
      </c>
      <c r="C168" t="s">
        <v>69</v>
      </c>
      <c r="D168" t="s">
        <v>59</v>
      </c>
      <c r="E168" t="s">
        <v>48</v>
      </c>
      <c r="F168" t="s">
        <v>49</v>
      </c>
      <c r="G168" t="s">
        <v>969</v>
      </c>
      <c r="H168">
        <v>1240</v>
      </c>
      <c r="I168" t="s">
        <v>62</v>
      </c>
      <c r="J168" t="s">
        <v>52</v>
      </c>
      <c r="K168" t="s">
        <v>53</v>
      </c>
      <c r="L168" t="s">
        <v>56</v>
      </c>
      <c r="M168" t="s">
        <v>54</v>
      </c>
      <c r="N168">
        <v>4</v>
      </c>
      <c r="O168">
        <v>-2</v>
      </c>
      <c r="P168">
        <v>0</v>
      </c>
      <c r="Q168">
        <v>25</v>
      </c>
      <c r="R168">
        <v>0</v>
      </c>
      <c r="T168">
        <v>0</v>
      </c>
      <c r="U168">
        <v>1</v>
      </c>
      <c r="V168">
        <v>1356</v>
      </c>
      <c r="W168">
        <v>10</v>
      </c>
      <c r="X168" t="s">
        <v>71</v>
      </c>
      <c r="Y168">
        <v>1</v>
      </c>
      <c r="Z168">
        <v>3</v>
      </c>
      <c r="AA168">
        <v>57</v>
      </c>
      <c r="AB168">
        <v>3</v>
      </c>
      <c r="AC168">
        <v>2</v>
      </c>
      <c r="AD168">
        <v>1</v>
      </c>
      <c r="AE168">
        <v>4950</v>
      </c>
      <c r="AF168">
        <v>20623</v>
      </c>
      <c r="AG168">
        <v>0</v>
      </c>
      <c r="AH168">
        <v>14</v>
      </c>
      <c r="AI168">
        <v>3</v>
      </c>
      <c r="AJ168">
        <v>2</v>
      </c>
      <c r="AK168">
        <v>80</v>
      </c>
      <c r="AL168">
        <v>0</v>
      </c>
      <c r="AM168">
        <v>5</v>
      </c>
      <c r="AN168">
        <v>3</v>
      </c>
      <c r="AO168">
        <v>4</v>
      </c>
      <c r="AP168">
        <v>3</v>
      </c>
      <c r="AQ168">
        <v>1</v>
      </c>
      <c r="AR168">
        <v>1</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46</v>
      </c>
      <c r="D171" t="s">
        <v>59</v>
      </c>
      <c r="E171" t="s">
        <v>48</v>
      </c>
      <c r="F171" t="s">
        <v>113</v>
      </c>
      <c r="G171" t="s">
        <v>968</v>
      </c>
      <c r="H171">
        <v>1239</v>
      </c>
      <c r="I171" t="s">
        <v>51</v>
      </c>
      <c r="J171" t="s">
        <v>52</v>
      </c>
      <c r="K171" t="s">
        <v>79</v>
      </c>
      <c r="L171" t="s">
        <v>56</v>
      </c>
      <c r="M171" t="s">
        <v>54</v>
      </c>
      <c r="N171">
        <v>2</v>
      </c>
      <c r="O171">
        <v>-2</v>
      </c>
      <c r="P171">
        <v>0</v>
      </c>
      <c r="Q171">
        <v>40</v>
      </c>
      <c r="R171">
        <v>0</v>
      </c>
      <c r="T171">
        <v>0</v>
      </c>
      <c r="U171">
        <v>1</v>
      </c>
      <c r="V171">
        <v>107</v>
      </c>
      <c r="W171">
        <v>10</v>
      </c>
      <c r="X171" t="s">
        <v>77</v>
      </c>
      <c r="Y171">
        <v>1</v>
      </c>
      <c r="Z171">
        <v>4</v>
      </c>
      <c r="AA171">
        <v>84</v>
      </c>
      <c r="AB171">
        <v>2</v>
      </c>
      <c r="AC171">
        <v>2</v>
      </c>
      <c r="AD171">
        <v>4</v>
      </c>
      <c r="AE171">
        <v>6852</v>
      </c>
      <c r="AF171">
        <v>11591</v>
      </c>
      <c r="AG171">
        <v>7</v>
      </c>
      <c r="AH171">
        <v>12</v>
      </c>
      <c r="AI171">
        <v>3</v>
      </c>
      <c r="AJ171">
        <v>2</v>
      </c>
      <c r="AK171">
        <v>80</v>
      </c>
      <c r="AL171">
        <v>1</v>
      </c>
      <c r="AM171">
        <v>7</v>
      </c>
      <c r="AN171">
        <v>4</v>
      </c>
      <c r="AO171">
        <v>5</v>
      </c>
      <c r="AP171">
        <v>1</v>
      </c>
      <c r="AQ171">
        <v>1</v>
      </c>
      <c r="AR171">
        <v>3</v>
      </c>
    </row>
    <row r="172" spans="1:44" x14ac:dyDescent="0.35">
      <c r="A172" t="s">
        <v>56</v>
      </c>
      <c r="B172" t="s">
        <v>45</v>
      </c>
      <c r="C172" t="s">
        <v>75</v>
      </c>
      <c r="D172" t="s">
        <v>59</v>
      </c>
      <c r="E172" t="s">
        <v>48</v>
      </c>
      <c r="F172" t="s">
        <v>106</v>
      </c>
      <c r="G172" t="s">
        <v>963</v>
      </c>
      <c r="H172">
        <v>1233</v>
      </c>
      <c r="I172" t="s">
        <v>62</v>
      </c>
      <c r="J172" t="s">
        <v>52</v>
      </c>
      <c r="K172" t="s">
        <v>79</v>
      </c>
      <c r="L172" t="s">
        <v>44</v>
      </c>
      <c r="M172" t="s">
        <v>54</v>
      </c>
      <c r="N172">
        <v>3</v>
      </c>
      <c r="O172">
        <v>-2</v>
      </c>
      <c r="P172">
        <v>0</v>
      </c>
      <c r="Q172">
        <v>60</v>
      </c>
      <c r="R172">
        <v>0</v>
      </c>
      <c r="T172">
        <v>0</v>
      </c>
      <c r="U172">
        <v>1</v>
      </c>
      <c r="V172">
        <v>696</v>
      </c>
      <c r="W172">
        <v>7</v>
      </c>
      <c r="X172" t="s">
        <v>71</v>
      </c>
      <c r="Y172">
        <v>1</v>
      </c>
      <c r="Z172">
        <v>2</v>
      </c>
      <c r="AA172">
        <v>52</v>
      </c>
      <c r="AB172">
        <v>4</v>
      </c>
      <c r="AC172">
        <v>2</v>
      </c>
      <c r="AD172">
        <v>2</v>
      </c>
      <c r="AE172">
        <v>5220</v>
      </c>
      <c r="AF172">
        <v>10893</v>
      </c>
      <c r="AG172">
        <v>0</v>
      </c>
      <c r="AH172">
        <v>18</v>
      </c>
      <c r="AI172">
        <v>3</v>
      </c>
      <c r="AJ172">
        <v>2</v>
      </c>
      <c r="AK172">
        <v>80</v>
      </c>
      <c r="AL172">
        <v>1</v>
      </c>
      <c r="AM172">
        <v>12</v>
      </c>
      <c r="AN172">
        <v>3</v>
      </c>
      <c r="AO172">
        <v>11</v>
      </c>
      <c r="AP172">
        <v>7</v>
      </c>
      <c r="AQ172">
        <v>1</v>
      </c>
      <c r="AR172">
        <v>9</v>
      </c>
    </row>
    <row r="173" spans="1:44" x14ac:dyDescent="0.35">
      <c r="A173" t="s">
        <v>56</v>
      </c>
      <c r="B173" t="s">
        <v>57</v>
      </c>
      <c r="C173" t="s">
        <v>69</v>
      </c>
      <c r="D173" t="s">
        <v>59</v>
      </c>
      <c r="E173" t="s">
        <v>48</v>
      </c>
      <c r="F173" t="s">
        <v>72</v>
      </c>
      <c r="G173" t="s">
        <v>956</v>
      </c>
      <c r="H173">
        <v>1220</v>
      </c>
      <c r="I173" t="s">
        <v>51</v>
      </c>
      <c r="J173" t="s">
        <v>52</v>
      </c>
      <c r="K173" t="s">
        <v>64</v>
      </c>
      <c r="L173" t="s">
        <v>56</v>
      </c>
      <c r="M173" t="s">
        <v>54</v>
      </c>
      <c r="N173">
        <v>3</v>
      </c>
      <c r="O173">
        <v>-2</v>
      </c>
      <c r="P173">
        <v>0</v>
      </c>
      <c r="Q173">
        <v>33</v>
      </c>
      <c r="R173">
        <v>0</v>
      </c>
      <c r="T173">
        <v>0</v>
      </c>
      <c r="U173">
        <v>1</v>
      </c>
      <c r="V173">
        <v>1146</v>
      </c>
      <c r="W173">
        <v>25</v>
      </c>
      <c r="X173" t="s">
        <v>77</v>
      </c>
      <c r="Y173">
        <v>1</v>
      </c>
      <c r="Z173">
        <v>2</v>
      </c>
      <c r="AA173">
        <v>82</v>
      </c>
      <c r="AB173">
        <v>3</v>
      </c>
      <c r="AC173">
        <v>2</v>
      </c>
      <c r="AD173">
        <v>3</v>
      </c>
      <c r="AE173">
        <v>4539</v>
      </c>
      <c r="AF173">
        <v>4905</v>
      </c>
      <c r="AG173">
        <v>1</v>
      </c>
      <c r="AH173">
        <v>12</v>
      </c>
      <c r="AI173">
        <v>3</v>
      </c>
      <c r="AJ173">
        <v>1</v>
      </c>
      <c r="AK173">
        <v>80</v>
      </c>
      <c r="AL173">
        <v>1</v>
      </c>
      <c r="AM173">
        <v>10</v>
      </c>
      <c r="AN173">
        <v>2</v>
      </c>
      <c r="AO173">
        <v>10</v>
      </c>
      <c r="AP173">
        <v>7</v>
      </c>
      <c r="AQ173">
        <v>0</v>
      </c>
      <c r="AR173">
        <v>1</v>
      </c>
    </row>
    <row r="174" spans="1:44" x14ac:dyDescent="0.35">
      <c r="A174" t="s">
        <v>56</v>
      </c>
      <c r="B174" t="s">
        <v>45</v>
      </c>
      <c r="C174" t="s">
        <v>46</v>
      </c>
      <c r="D174" t="s">
        <v>59</v>
      </c>
      <c r="E174" t="s">
        <v>48</v>
      </c>
      <c r="F174" t="s">
        <v>49</v>
      </c>
      <c r="G174" t="s">
        <v>954</v>
      </c>
      <c r="H174">
        <v>1218</v>
      </c>
      <c r="I174" t="s">
        <v>62</v>
      </c>
      <c r="J174" t="s">
        <v>52</v>
      </c>
      <c r="K174" t="s">
        <v>64</v>
      </c>
      <c r="L174" t="s">
        <v>44</v>
      </c>
      <c r="M174" t="s">
        <v>54</v>
      </c>
      <c r="N174">
        <v>2</v>
      </c>
      <c r="O174">
        <v>-2</v>
      </c>
      <c r="P174">
        <v>0</v>
      </c>
      <c r="Q174">
        <v>35</v>
      </c>
      <c r="R174">
        <v>0</v>
      </c>
      <c r="T174">
        <v>0</v>
      </c>
      <c r="U174">
        <v>1</v>
      </c>
      <c r="V174">
        <v>1361</v>
      </c>
      <c r="W174">
        <v>17</v>
      </c>
      <c r="X174" t="s">
        <v>71</v>
      </c>
      <c r="Y174">
        <v>1</v>
      </c>
      <c r="Z174">
        <v>3</v>
      </c>
      <c r="AA174">
        <v>94</v>
      </c>
      <c r="AB174">
        <v>3</v>
      </c>
      <c r="AC174">
        <v>2</v>
      </c>
      <c r="AD174">
        <v>1</v>
      </c>
      <c r="AE174">
        <v>8966</v>
      </c>
      <c r="AF174">
        <v>21026</v>
      </c>
      <c r="AG174">
        <v>3</v>
      </c>
      <c r="AH174">
        <v>15</v>
      </c>
      <c r="AI174">
        <v>3</v>
      </c>
      <c r="AJ174">
        <v>4</v>
      </c>
      <c r="AK174">
        <v>80</v>
      </c>
      <c r="AL174">
        <v>3</v>
      </c>
      <c r="AM174">
        <v>15</v>
      </c>
      <c r="AN174">
        <v>3</v>
      </c>
      <c r="AO174">
        <v>7</v>
      </c>
      <c r="AP174">
        <v>7</v>
      </c>
      <c r="AQ174">
        <v>1</v>
      </c>
      <c r="AR174">
        <v>7</v>
      </c>
    </row>
    <row r="175" spans="1:44" x14ac:dyDescent="0.35">
      <c r="A175" t="s">
        <v>56</v>
      </c>
      <c r="B175" t="s">
        <v>57</v>
      </c>
      <c r="C175" t="s">
        <v>46</v>
      </c>
      <c r="D175" t="s">
        <v>59</v>
      </c>
      <c r="E175" t="s">
        <v>48</v>
      </c>
      <c r="F175" t="s">
        <v>72</v>
      </c>
      <c r="G175" t="s">
        <v>950</v>
      </c>
      <c r="H175">
        <v>1212</v>
      </c>
      <c r="I175" t="s">
        <v>62</v>
      </c>
      <c r="J175" t="s">
        <v>52</v>
      </c>
      <c r="K175" t="s">
        <v>64</v>
      </c>
      <c r="L175" t="s">
        <v>56</v>
      </c>
      <c r="M175" t="s">
        <v>54</v>
      </c>
      <c r="N175">
        <v>2</v>
      </c>
      <c r="O175">
        <v>-2</v>
      </c>
      <c r="P175">
        <v>0</v>
      </c>
      <c r="Q175">
        <v>40</v>
      </c>
      <c r="R175">
        <v>0</v>
      </c>
      <c r="T175">
        <v>0</v>
      </c>
      <c r="U175">
        <v>1</v>
      </c>
      <c r="V175">
        <v>1184</v>
      </c>
      <c r="W175">
        <v>2</v>
      </c>
      <c r="X175" t="s">
        <v>71</v>
      </c>
      <c r="Y175">
        <v>1</v>
      </c>
      <c r="Z175">
        <v>2</v>
      </c>
      <c r="AA175">
        <v>62</v>
      </c>
      <c r="AB175">
        <v>3</v>
      </c>
      <c r="AC175">
        <v>2</v>
      </c>
      <c r="AD175">
        <v>2</v>
      </c>
      <c r="AE175">
        <v>4327</v>
      </c>
      <c r="AF175">
        <v>25440</v>
      </c>
      <c r="AG175">
        <v>5</v>
      </c>
      <c r="AH175">
        <v>12</v>
      </c>
      <c r="AI175">
        <v>3</v>
      </c>
      <c r="AJ175">
        <v>4</v>
      </c>
      <c r="AK175">
        <v>80</v>
      </c>
      <c r="AL175">
        <v>3</v>
      </c>
      <c r="AM175">
        <v>5</v>
      </c>
      <c r="AN175">
        <v>3</v>
      </c>
      <c r="AO175">
        <v>0</v>
      </c>
      <c r="AP175">
        <v>0</v>
      </c>
      <c r="AQ175">
        <v>0</v>
      </c>
      <c r="AR175">
        <v>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69</v>
      </c>
      <c r="D177" t="s">
        <v>59</v>
      </c>
      <c r="E177" t="s">
        <v>48</v>
      </c>
      <c r="F177" t="s">
        <v>49</v>
      </c>
      <c r="G177" t="s">
        <v>949</v>
      </c>
      <c r="H177">
        <v>1211</v>
      </c>
      <c r="I177" t="s">
        <v>62</v>
      </c>
      <c r="J177" t="s">
        <v>52</v>
      </c>
      <c r="K177" t="s">
        <v>79</v>
      </c>
      <c r="L177" t="s">
        <v>56</v>
      </c>
      <c r="M177" t="s">
        <v>54</v>
      </c>
      <c r="N177">
        <v>3</v>
      </c>
      <c r="O177">
        <v>-2</v>
      </c>
      <c r="P177">
        <v>0</v>
      </c>
      <c r="Q177">
        <v>30</v>
      </c>
      <c r="R177">
        <v>0</v>
      </c>
      <c r="T177">
        <v>0</v>
      </c>
      <c r="U177">
        <v>1</v>
      </c>
      <c r="V177">
        <v>1329</v>
      </c>
      <c r="W177">
        <v>29</v>
      </c>
      <c r="X177" t="s">
        <v>71</v>
      </c>
      <c r="Y177">
        <v>1</v>
      </c>
      <c r="Z177">
        <v>3</v>
      </c>
      <c r="AA177">
        <v>61</v>
      </c>
      <c r="AB177">
        <v>3</v>
      </c>
      <c r="AC177">
        <v>2</v>
      </c>
      <c r="AD177">
        <v>1</v>
      </c>
      <c r="AE177">
        <v>4115</v>
      </c>
      <c r="AF177">
        <v>13192</v>
      </c>
      <c r="AG177">
        <v>8</v>
      </c>
      <c r="AH177">
        <v>19</v>
      </c>
      <c r="AI177">
        <v>3</v>
      </c>
      <c r="AJ177">
        <v>3</v>
      </c>
      <c r="AK177">
        <v>80</v>
      </c>
      <c r="AL177">
        <v>3</v>
      </c>
      <c r="AM177">
        <v>8</v>
      </c>
      <c r="AN177">
        <v>3</v>
      </c>
      <c r="AO177">
        <v>4</v>
      </c>
      <c r="AP177">
        <v>3</v>
      </c>
      <c r="AQ177">
        <v>0</v>
      </c>
      <c r="AR177">
        <v>3</v>
      </c>
    </row>
    <row r="178" spans="1:44" x14ac:dyDescent="0.35">
      <c r="A178" t="s">
        <v>44</v>
      </c>
      <c r="B178" t="s">
        <v>45</v>
      </c>
      <c r="C178" t="s">
        <v>46</v>
      </c>
      <c r="D178" t="s">
        <v>47</v>
      </c>
      <c r="E178" t="s">
        <v>48</v>
      </c>
      <c r="F178" t="s">
        <v>106</v>
      </c>
      <c r="G178" t="s">
        <v>933</v>
      </c>
      <c r="H178">
        <v>1188</v>
      </c>
      <c r="I178" t="s">
        <v>51</v>
      </c>
      <c r="J178" t="s">
        <v>52</v>
      </c>
      <c r="K178" t="s">
        <v>53</v>
      </c>
      <c r="L178" t="s">
        <v>56</v>
      </c>
      <c r="M178" t="s">
        <v>54</v>
      </c>
      <c r="N178">
        <v>2</v>
      </c>
      <c r="O178">
        <v>-2</v>
      </c>
      <c r="P178">
        <v>0</v>
      </c>
      <c r="Q178">
        <v>43</v>
      </c>
      <c r="R178">
        <v>1</v>
      </c>
      <c r="S178">
        <v>1</v>
      </c>
      <c r="T178">
        <v>1</v>
      </c>
      <c r="U178">
        <v>0</v>
      </c>
      <c r="V178">
        <v>1372</v>
      </c>
      <c r="W178">
        <v>9</v>
      </c>
      <c r="X178" t="s">
        <v>77</v>
      </c>
      <c r="Y178">
        <v>1</v>
      </c>
      <c r="Z178">
        <v>1</v>
      </c>
      <c r="AA178">
        <v>85</v>
      </c>
      <c r="AB178">
        <v>1</v>
      </c>
      <c r="AC178">
        <v>2</v>
      </c>
      <c r="AD178">
        <v>2</v>
      </c>
      <c r="AE178">
        <v>5346</v>
      </c>
      <c r="AF178">
        <v>9489</v>
      </c>
      <c r="AG178">
        <v>8</v>
      </c>
      <c r="AH178">
        <v>13</v>
      </c>
      <c r="AI178">
        <v>3</v>
      </c>
      <c r="AJ178">
        <v>2</v>
      </c>
      <c r="AK178">
        <v>80</v>
      </c>
      <c r="AL178">
        <v>0</v>
      </c>
      <c r="AM178">
        <v>7</v>
      </c>
      <c r="AN178">
        <v>2</v>
      </c>
      <c r="AO178">
        <v>4</v>
      </c>
      <c r="AP178">
        <v>3</v>
      </c>
      <c r="AQ178">
        <v>1</v>
      </c>
      <c r="AR178">
        <v>3</v>
      </c>
    </row>
    <row r="179" spans="1:44" x14ac:dyDescent="0.35">
      <c r="A179" t="s">
        <v>56</v>
      </c>
      <c r="B179" t="s">
        <v>45</v>
      </c>
      <c r="C179" t="s">
        <v>69</v>
      </c>
      <c r="D179" t="s">
        <v>59</v>
      </c>
      <c r="E179" t="s">
        <v>48</v>
      </c>
      <c r="F179" t="s">
        <v>106</v>
      </c>
      <c r="G179" t="s">
        <v>928</v>
      </c>
      <c r="H179">
        <v>1179</v>
      </c>
      <c r="I179" t="s">
        <v>62</v>
      </c>
      <c r="J179" t="s">
        <v>52</v>
      </c>
      <c r="K179" t="s">
        <v>64</v>
      </c>
      <c r="L179" t="s">
        <v>56</v>
      </c>
      <c r="M179" t="s">
        <v>54</v>
      </c>
      <c r="N179">
        <v>3</v>
      </c>
      <c r="O179">
        <v>-2</v>
      </c>
      <c r="P179">
        <v>0</v>
      </c>
      <c r="Q179">
        <v>30</v>
      </c>
      <c r="R179">
        <v>0</v>
      </c>
      <c r="T179">
        <v>0</v>
      </c>
      <c r="U179">
        <v>1</v>
      </c>
      <c r="V179">
        <v>852</v>
      </c>
      <c r="W179">
        <v>10</v>
      </c>
      <c r="X179" t="s">
        <v>77</v>
      </c>
      <c r="Y179">
        <v>1</v>
      </c>
      <c r="Z179">
        <v>3</v>
      </c>
      <c r="AA179">
        <v>72</v>
      </c>
      <c r="AB179">
        <v>2</v>
      </c>
      <c r="AC179">
        <v>2</v>
      </c>
      <c r="AD179">
        <v>2</v>
      </c>
      <c r="AE179">
        <v>6578</v>
      </c>
      <c r="AF179">
        <v>2706</v>
      </c>
      <c r="AG179">
        <v>1</v>
      </c>
      <c r="AH179">
        <v>18</v>
      </c>
      <c r="AI179">
        <v>3</v>
      </c>
      <c r="AJ179">
        <v>1</v>
      </c>
      <c r="AK179">
        <v>80</v>
      </c>
      <c r="AL179">
        <v>1</v>
      </c>
      <c r="AM179">
        <v>10</v>
      </c>
      <c r="AN179">
        <v>3</v>
      </c>
      <c r="AO179">
        <v>10</v>
      </c>
      <c r="AP179">
        <v>3</v>
      </c>
      <c r="AQ179">
        <v>1</v>
      </c>
      <c r="AR179">
        <v>4</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48</v>
      </c>
      <c r="F181" t="s">
        <v>106</v>
      </c>
      <c r="G181" t="s">
        <v>923</v>
      </c>
      <c r="H181">
        <v>1171</v>
      </c>
      <c r="I181" t="s">
        <v>62</v>
      </c>
      <c r="J181" t="s">
        <v>52</v>
      </c>
      <c r="K181" t="s">
        <v>53</v>
      </c>
      <c r="L181" t="s">
        <v>56</v>
      </c>
      <c r="M181" t="s">
        <v>54</v>
      </c>
      <c r="N181">
        <v>3</v>
      </c>
      <c r="O181">
        <v>-2</v>
      </c>
      <c r="P181">
        <v>0</v>
      </c>
      <c r="Q181">
        <v>42</v>
      </c>
      <c r="R181">
        <v>0</v>
      </c>
      <c r="T181">
        <v>0</v>
      </c>
      <c r="U181">
        <v>1</v>
      </c>
      <c r="V181">
        <v>647</v>
      </c>
      <c r="W181">
        <v>4</v>
      </c>
      <c r="X181" t="s">
        <v>71</v>
      </c>
      <c r="Y181">
        <v>1</v>
      </c>
      <c r="Z181">
        <v>2</v>
      </c>
      <c r="AA181">
        <v>45</v>
      </c>
      <c r="AB181">
        <v>3</v>
      </c>
      <c r="AC181">
        <v>2</v>
      </c>
      <c r="AD181">
        <v>2</v>
      </c>
      <c r="AE181">
        <v>5155</v>
      </c>
      <c r="AF181">
        <v>2253</v>
      </c>
      <c r="AG181">
        <v>7</v>
      </c>
      <c r="AH181">
        <v>13</v>
      </c>
      <c r="AI181">
        <v>3</v>
      </c>
      <c r="AJ181">
        <v>4</v>
      </c>
      <c r="AK181">
        <v>80</v>
      </c>
      <c r="AL181">
        <v>0</v>
      </c>
      <c r="AM181">
        <v>9</v>
      </c>
      <c r="AN181">
        <v>4</v>
      </c>
      <c r="AO181">
        <v>6</v>
      </c>
      <c r="AP181">
        <v>4</v>
      </c>
      <c r="AQ181">
        <v>1</v>
      </c>
      <c r="AR181">
        <v>5</v>
      </c>
    </row>
    <row r="182" spans="1:44" x14ac:dyDescent="0.35">
      <c r="A182" t="s">
        <v>44</v>
      </c>
      <c r="B182" t="s">
        <v>57</v>
      </c>
      <c r="C182" t="s">
        <v>46</v>
      </c>
      <c r="D182" t="s">
        <v>47</v>
      </c>
      <c r="E182" t="s">
        <v>48</v>
      </c>
      <c r="F182" t="s">
        <v>49</v>
      </c>
      <c r="G182" t="s">
        <v>922</v>
      </c>
      <c r="H182">
        <v>1167</v>
      </c>
      <c r="I182" t="s">
        <v>62</v>
      </c>
      <c r="J182" t="s">
        <v>52</v>
      </c>
      <c r="K182" t="s">
        <v>53</v>
      </c>
      <c r="L182" t="s">
        <v>44</v>
      </c>
      <c r="M182" t="s">
        <v>54</v>
      </c>
      <c r="N182">
        <v>2</v>
      </c>
      <c r="O182">
        <v>-2</v>
      </c>
      <c r="P182">
        <v>0</v>
      </c>
      <c r="Q182">
        <v>42</v>
      </c>
      <c r="R182">
        <v>1</v>
      </c>
      <c r="S182">
        <v>1</v>
      </c>
      <c r="T182">
        <v>1</v>
      </c>
      <c r="U182">
        <v>0</v>
      </c>
      <c r="V182">
        <v>481</v>
      </c>
      <c r="W182">
        <v>12</v>
      </c>
      <c r="X182" t="s">
        <v>77</v>
      </c>
      <c r="Y182">
        <v>1</v>
      </c>
      <c r="Z182">
        <v>3</v>
      </c>
      <c r="AA182">
        <v>44</v>
      </c>
      <c r="AB182">
        <v>3</v>
      </c>
      <c r="AC182">
        <v>4</v>
      </c>
      <c r="AD182">
        <v>1</v>
      </c>
      <c r="AE182">
        <v>13758</v>
      </c>
      <c r="AF182">
        <v>2447</v>
      </c>
      <c r="AG182">
        <v>0</v>
      </c>
      <c r="AH182">
        <v>12</v>
      </c>
      <c r="AI182">
        <v>3</v>
      </c>
      <c r="AJ182">
        <v>2</v>
      </c>
      <c r="AK182">
        <v>80</v>
      </c>
      <c r="AL182">
        <v>0</v>
      </c>
      <c r="AM182">
        <v>22</v>
      </c>
      <c r="AN182">
        <v>2</v>
      </c>
      <c r="AO182">
        <v>21</v>
      </c>
      <c r="AP182">
        <v>9</v>
      </c>
      <c r="AQ182">
        <v>13</v>
      </c>
      <c r="AR182">
        <v>14</v>
      </c>
    </row>
    <row r="183" spans="1:44" x14ac:dyDescent="0.35">
      <c r="A183" t="s">
        <v>44</v>
      </c>
      <c r="B183" t="s">
        <v>45</v>
      </c>
      <c r="C183" t="s">
        <v>69</v>
      </c>
      <c r="D183" t="s">
        <v>47</v>
      </c>
      <c r="E183" t="s">
        <v>48</v>
      </c>
      <c r="F183" t="s">
        <v>49</v>
      </c>
      <c r="G183" t="s">
        <v>920</v>
      </c>
      <c r="H183">
        <v>1165</v>
      </c>
      <c r="I183" t="s">
        <v>51</v>
      </c>
      <c r="J183" t="s">
        <v>52</v>
      </c>
      <c r="K183" t="s">
        <v>64</v>
      </c>
      <c r="L183" t="s">
        <v>56</v>
      </c>
      <c r="M183" t="s">
        <v>54</v>
      </c>
      <c r="N183">
        <v>3</v>
      </c>
      <c r="O183">
        <v>-2</v>
      </c>
      <c r="P183">
        <v>0</v>
      </c>
      <c r="Q183">
        <v>29</v>
      </c>
      <c r="R183">
        <v>1</v>
      </c>
      <c r="S183">
        <v>1</v>
      </c>
      <c r="T183">
        <v>1</v>
      </c>
      <c r="U183">
        <v>0</v>
      </c>
      <c r="V183">
        <v>408</v>
      </c>
      <c r="W183">
        <v>23</v>
      </c>
      <c r="X183" t="s">
        <v>65</v>
      </c>
      <c r="Y183">
        <v>1</v>
      </c>
      <c r="Z183">
        <v>4</v>
      </c>
      <c r="AA183">
        <v>45</v>
      </c>
      <c r="AB183">
        <v>2</v>
      </c>
      <c r="AC183">
        <v>3</v>
      </c>
      <c r="AD183">
        <v>1</v>
      </c>
      <c r="AE183">
        <v>7336</v>
      </c>
      <c r="AF183">
        <v>11162</v>
      </c>
      <c r="AG183">
        <v>1</v>
      </c>
      <c r="AH183">
        <v>13</v>
      </c>
      <c r="AI183">
        <v>3</v>
      </c>
      <c r="AJ183">
        <v>1</v>
      </c>
      <c r="AK183">
        <v>80</v>
      </c>
      <c r="AL183">
        <v>1</v>
      </c>
      <c r="AM183">
        <v>11</v>
      </c>
      <c r="AN183">
        <v>1</v>
      </c>
      <c r="AO183">
        <v>11</v>
      </c>
      <c r="AP183">
        <v>8</v>
      </c>
      <c r="AQ183">
        <v>3</v>
      </c>
      <c r="AR183">
        <v>10</v>
      </c>
    </row>
    <row r="184" spans="1:44" x14ac:dyDescent="0.35">
      <c r="A184" t="s">
        <v>56</v>
      </c>
      <c r="B184" t="s">
        <v>45</v>
      </c>
      <c r="C184" t="s">
        <v>69</v>
      </c>
      <c r="D184" t="s">
        <v>59</v>
      </c>
      <c r="E184" t="s">
        <v>48</v>
      </c>
      <c r="F184" t="s">
        <v>49</v>
      </c>
      <c r="G184" t="s">
        <v>918</v>
      </c>
      <c r="H184">
        <v>1163</v>
      </c>
      <c r="I184" t="s">
        <v>51</v>
      </c>
      <c r="J184" t="s">
        <v>52</v>
      </c>
      <c r="K184" t="s">
        <v>64</v>
      </c>
      <c r="L184" t="s">
        <v>56</v>
      </c>
      <c r="M184" t="s">
        <v>54</v>
      </c>
      <c r="N184">
        <v>3</v>
      </c>
      <c r="O184">
        <v>-2</v>
      </c>
      <c r="P184">
        <v>0</v>
      </c>
      <c r="Q184">
        <v>34</v>
      </c>
      <c r="R184">
        <v>0</v>
      </c>
      <c r="T184">
        <v>0</v>
      </c>
      <c r="U184">
        <v>1</v>
      </c>
      <c r="V184">
        <v>1400</v>
      </c>
      <c r="W184">
        <v>9</v>
      </c>
      <c r="X184" t="s">
        <v>65</v>
      </c>
      <c r="Y184">
        <v>1</v>
      </c>
      <c r="Z184">
        <v>2</v>
      </c>
      <c r="AA184">
        <v>70</v>
      </c>
      <c r="AB184">
        <v>3</v>
      </c>
      <c r="AC184">
        <v>2</v>
      </c>
      <c r="AD184">
        <v>1</v>
      </c>
      <c r="AE184">
        <v>5714</v>
      </c>
      <c r="AF184">
        <v>5829</v>
      </c>
      <c r="AG184">
        <v>1</v>
      </c>
      <c r="AH184">
        <v>20</v>
      </c>
      <c r="AI184">
        <v>4</v>
      </c>
      <c r="AJ184">
        <v>1</v>
      </c>
      <c r="AK184">
        <v>80</v>
      </c>
      <c r="AL184">
        <v>0</v>
      </c>
      <c r="AM184">
        <v>6</v>
      </c>
      <c r="AN184">
        <v>2</v>
      </c>
      <c r="AO184">
        <v>6</v>
      </c>
      <c r="AP184">
        <v>5</v>
      </c>
      <c r="AQ184">
        <v>1</v>
      </c>
      <c r="AR184">
        <v>3</v>
      </c>
    </row>
    <row r="185" spans="1:44" x14ac:dyDescent="0.35">
      <c r="A185" t="s">
        <v>44</v>
      </c>
      <c r="B185" t="s">
        <v>45</v>
      </c>
      <c r="C185" t="s">
        <v>69</v>
      </c>
      <c r="D185" t="s">
        <v>47</v>
      </c>
      <c r="E185" t="s">
        <v>48</v>
      </c>
      <c r="F185" t="s">
        <v>106</v>
      </c>
      <c r="G185" t="s">
        <v>913</v>
      </c>
      <c r="H185">
        <v>1157</v>
      </c>
      <c r="I185" t="s">
        <v>51</v>
      </c>
      <c r="J185" t="s">
        <v>52</v>
      </c>
      <c r="K185" t="s">
        <v>53</v>
      </c>
      <c r="L185" t="s">
        <v>44</v>
      </c>
      <c r="M185" t="s">
        <v>54</v>
      </c>
      <c r="N185">
        <v>3</v>
      </c>
      <c r="O185">
        <v>-2</v>
      </c>
      <c r="P185">
        <v>0</v>
      </c>
      <c r="Q185">
        <v>33</v>
      </c>
      <c r="R185">
        <v>1</v>
      </c>
      <c r="S185">
        <v>1</v>
      </c>
      <c r="T185">
        <v>1</v>
      </c>
      <c r="U185">
        <v>0</v>
      </c>
      <c r="V185">
        <v>603</v>
      </c>
      <c r="W185">
        <v>9</v>
      </c>
      <c r="X185" t="s">
        <v>71</v>
      </c>
      <c r="Y185">
        <v>1</v>
      </c>
      <c r="Z185">
        <v>1</v>
      </c>
      <c r="AA185">
        <v>77</v>
      </c>
      <c r="AB185">
        <v>3</v>
      </c>
      <c r="AC185">
        <v>2</v>
      </c>
      <c r="AD185">
        <v>2</v>
      </c>
      <c r="AE185">
        <v>8224</v>
      </c>
      <c r="AF185">
        <v>18385</v>
      </c>
      <c r="AG185">
        <v>0</v>
      </c>
      <c r="AH185">
        <v>17</v>
      </c>
      <c r="AI185">
        <v>3</v>
      </c>
      <c r="AJ185">
        <v>1</v>
      </c>
      <c r="AK185">
        <v>80</v>
      </c>
      <c r="AL185">
        <v>0</v>
      </c>
      <c r="AM185">
        <v>6</v>
      </c>
      <c r="AN185">
        <v>3</v>
      </c>
      <c r="AO185">
        <v>5</v>
      </c>
      <c r="AP185">
        <v>2</v>
      </c>
      <c r="AQ185">
        <v>0</v>
      </c>
      <c r="AR185">
        <v>3</v>
      </c>
    </row>
    <row r="186" spans="1:44" x14ac:dyDescent="0.35">
      <c r="A186" t="s">
        <v>56</v>
      </c>
      <c r="B186" t="s">
        <v>45</v>
      </c>
      <c r="C186" t="s">
        <v>58</v>
      </c>
      <c r="D186" t="s">
        <v>59</v>
      </c>
      <c r="E186" t="s">
        <v>48</v>
      </c>
      <c r="F186" t="s">
        <v>113</v>
      </c>
      <c r="G186" t="s">
        <v>905</v>
      </c>
      <c r="H186">
        <v>1138</v>
      </c>
      <c r="I186" t="s">
        <v>62</v>
      </c>
      <c r="J186" t="s">
        <v>52</v>
      </c>
      <c r="K186" t="s">
        <v>64</v>
      </c>
      <c r="L186" t="s">
        <v>56</v>
      </c>
      <c r="M186" t="s">
        <v>54</v>
      </c>
      <c r="N186">
        <v>3</v>
      </c>
      <c r="O186">
        <v>-2</v>
      </c>
      <c r="P186">
        <v>0</v>
      </c>
      <c r="Q186">
        <v>49</v>
      </c>
      <c r="R186">
        <v>0</v>
      </c>
      <c r="T186">
        <v>0</v>
      </c>
      <c r="U186">
        <v>1</v>
      </c>
      <c r="V186">
        <v>174</v>
      </c>
      <c r="W186">
        <v>8</v>
      </c>
      <c r="X186" t="s">
        <v>71</v>
      </c>
      <c r="Y186">
        <v>1</v>
      </c>
      <c r="Z186">
        <v>4</v>
      </c>
      <c r="AA186">
        <v>56</v>
      </c>
      <c r="AB186">
        <v>2</v>
      </c>
      <c r="AC186">
        <v>4</v>
      </c>
      <c r="AD186">
        <v>4</v>
      </c>
      <c r="AE186">
        <v>13120</v>
      </c>
      <c r="AF186">
        <v>11879</v>
      </c>
      <c r="AG186">
        <v>6</v>
      </c>
      <c r="AH186">
        <v>17</v>
      </c>
      <c r="AI186">
        <v>3</v>
      </c>
      <c r="AJ186">
        <v>2</v>
      </c>
      <c r="AK186">
        <v>80</v>
      </c>
      <c r="AL186">
        <v>1</v>
      </c>
      <c r="AM186">
        <v>22</v>
      </c>
      <c r="AN186">
        <v>3</v>
      </c>
      <c r="AO186">
        <v>9</v>
      </c>
      <c r="AP186">
        <v>8</v>
      </c>
      <c r="AQ186">
        <v>2</v>
      </c>
      <c r="AR186">
        <v>3</v>
      </c>
    </row>
    <row r="187" spans="1:44" x14ac:dyDescent="0.35">
      <c r="A187" t="s">
        <v>56</v>
      </c>
      <c r="B187" t="s">
        <v>57</v>
      </c>
      <c r="C187" t="s">
        <v>46</v>
      </c>
      <c r="D187" t="s">
        <v>59</v>
      </c>
      <c r="E187" t="s">
        <v>48</v>
      </c>
      <c r="F187" t="s">
        <v>106</v>
      </c>
      <c r="G187" t="s">
        <v>904</v>
      </c>
      <c r="H187">
        <v>1137</v>
      </c>
      <c r="I187" t="s">
        <v>62</v>
      </c>
      <c r="J187" t="s">
        <v>52</v>
      </c>
      <c r="K187" t="s">
        <v>79</v>
      </c>
      <c r="L187" t="s">
        <v>56</v>
      </c>
      <c r="M187" t="s">
        <v>54</v>
      </c>
      <c r="N187">
        <v>3</v>
      </c>
      <c r="O187">
        <v>-2</v>
      </c>
      <c r="P187">
        <v>0</v>
      </c>
      <c r="Q187">
        <v>35</v>
      </c>
      <c r="R187">
        <v>0</v>
      </c>
      <c r="T187">
        <v>0</v>
      </c>
      <c r="U187">
        <v>1</v>
      </c>
      <c r="V187">
        <v>1182</v>
      </c>
      <c r="W187">
        <v>11</v>
      </c>
      <c r="X187" t="s">
        <v>55</v>
      </c>
      <c r="Y187">
        <v>1</v>
      </c>
      <c r="Z187">
        <v>4</v>
      </c>
      <c r="AA187">
        <v>54</v>
      </c>
      <c r="AB187">
        <v>3</v>
      </c>
      <c r="AC187">
        <v>2</v>
      </c>
      <c r="AD187">
        <v>2</v>
      </c>
      <c r="AE187">
        <v>4968</v>
      </c>
      <c r="AF187">
        <v>18500</v>
      </c>
      <c r="AG187">
        <v>1</v>
      </c>
      <c r="AH187">
        <v>11</v>
      </c>
      <c r="AI187">
        <v>3</v>
      </c>
      <c r="AJ187">
        <v>4</v>
      </c>
      <c r="AK187">
        <v>80</v>
      </c>
      <c r="AL187">
        <v>1</v>
      </c>
      <c r="AM187">
        <v>5</v>
      </c>
      <c r="AN187">
        <v>3</v>
      </c>
      <c r="AO187">
        <v>5</v>
      </c>
      <c r="AP187">
        <v>2</v>
      </c>
      <c r="AQ187">
        <v>0</v>
      </c>
      <c r="AR187">
        <v>2</v>
      </c>
    </row>
    <row r="188" spans="1:44" x14ac:dyDescent="0.35">
      <c r="A188" t="s">
        <v>56</v>
      </c>
      <c r="B188" t="s">
        <v>45</v>
      </c>
      <c r="C188" t="s">
        <v>46</v>
      </c>
      <c r="D188" t="s">
        <v>59</v>
      </c>
      <c r="E188" t="s">
        <v>48</v>
      </c>
      <c r="F188" t="s">
        <v>106</v>
      </c>
      <c r="G188" t="s">
        <v>895</v>
      </c>
      <c r="H188">
        <v>1125</v>
      </c>
      <c r="I188" t="s">
        <v>62</v>
      </c>
      <c r="J188" t="s">
        <v>52</v>
      </c>
      <c r="K188" t="s">
        <v>53</v>
      </c>
      <c r="L188" t="s">
        <v>56</v>
      </c>
      <c r="M188" t="s">
        <v>54</v>
      </c>
      <c r="N188">
        <v>2</v>
      </c>
      <c r="O188">
        <v>-2</v>
      </c>
      <c r="P188">
        <v>0</v>
      </c>
      <c r="Q188">
        <v>38</v>
      </c>
      <c r="R188">
        <v>0</v>
      </c>
      <c r="T188">
        <v>0</v>
      </c>
      <c r="U188">
        <v>1</v>
      </c>
      <c r="V188">
        <v>130</v>
      </c>
      <c r="W188">
        <v>2</v>
      </c>
      <c r="X188" t="s">
        <v>55</v>
      </c>
      <c r="Y188">
        <v>1</v>
      </c>
      <c r="Z188">
        <v>4</v>
      </c>
      <c r="AA188">
        <v>32</v>
      </c>
      <c r="AB188">
        <v>3</v>
      </c>
      <c r="AC188">
        <v>3</v>
      </c>
      <c r="AD188">
        <v>2</v>
      </c>
      <c r="AE188">
        <v>7351</v>
      </c>
      <c r="AF188">
        <v>20619</v>
      </c>
      <c r="AG188">
        <v>7</v>
      </c>
      <c r="AH188">
        <v>16</v>
      </c>
      <c r="AI188">
        <v>3</v>
      </c>
      <c r="AJ188">
        <v>3</v>
      </c>
      <c r="AK188">
        <v>80</v>
      </c>
      <c r="AL188">
        <v>0</v>
      </c>
      <c r="AM188">
        <v>10</v>
      </c>
      <c r="AN188">
        <v>3</v>
      </c>
      <c r="AO188">
        <v>1</v>
      </c>
      <c r="AP188">
        <v>0</v>
      </c>
      <c r="AQ188">
        <v>0</v>
      </c>
      <c r="AR188">
        <v>0</v>
      </c>
    </row>
    <row r="189" spans="1:44" x14ac:dyDescent="0.35">
      <c r="A189" t="s">
        <v>56</v>
      </c>
      <c r="B189" t="s">
        <v>45</v>
      </c>
      <c r="C189" t="s">
        <v>46</v>
      </c>
      <c r="D189" t="s">
        <v>59</v>
      </c>
      <c r="E189" t="s">
        <v>48</v>
      </c>
      <c r="F189" t="s">
        <v>106</v>
      </c>
      <c r="G189" t="s">
        <v>891</v>
      </c>
      <c r="H189">
        <v>1119</v>
      </c>
      <c r="I189" t="s">
        <v>62</v>
      </c>
      <c r="J189" t="s">
        <v>52</v>
      </c>
      <c r="K189" t="s">
        <v>79</v>
      </c>
      <c r="L189" t="s">
        <v>44</v>
      </c>
      <c r="M189" t="s">
        <v>54</v>
      </c>
      <c r="N189">
        <v>2</v>
      </c>
      <c r="O189">
        <v>-2</v>
      </c>
      <c r="P189">
        <v>0</v>
      </c>
      <c r="Q189">
        <v>38</v>
      </c>
      <c r="R189">
        <v>0</v>
      </c>
      <c r="T189">
        <v>0</v>
      </c>
      <c r="U189">
        <v>1</v>
      </c>
      <c r="V189">
        <v>770</v>
      </c>
      <c r="W189">
        <v>10</v>
      </c>
      <c r="X189" t="s">
        <v>71</v>
      </c>
      <c r="Y189">
        <v>1</v>
      </c>
      <c r="Z189">
        <v>3</v>
      </c>
      <c r="AA189">
        <v>73</v>
      </c>
      <c r="AB189">
        <v>2</v>
      </c>
      <c r="AC189">
        <v>3</v>
      </c>
      <c r="AD189">
        <v>2</v>
      </c>
      <c r="AE189">
        <v>8740</v>
      </c>
      <c r="AF189">
        <v>5569</v>
      </c>
      <c r="AG189">
        <v>0</v>
      </c>
      <c r="AH189">
        <v>14</v>
      </c>
      <c r="AI189">
        <v>3</v>
      </c>
      <c r="AJ189">
        <v>2</v>
      </c>
      <c r="AK189">
        <v>80</v>
      </c>
      <c r="AL189">
        <v>2</v>
      </c>
      <c r="AM189">
        <v>9</v>
      </c>
      <c r="AN189">
        <v>3</v>
      </c>
      <c r="AO189">
        <v>8</v>
      </c>
      <c r="AP189">
        <v>7</v>
      </c>
      <c r="AQ189">
        <v>2</v>
      </c>
      <c r="AR189">
        <v>7</v>
      </c>
    </row>
    <row r="190" spans="1:44" x14ac:dyDescent="0.35">
      <c r="A190" t="s">
        <v>56</v>
      </c>
      <c r="B190" t="s">
        <v>91</v>
      </c>
      <c r="C190" t="s">
        <v>58</v>
      </c>
      <c r="D190" t="s">
        <v>59</v>
      </c>
      <c r="E190" t="s">
        <v>48</v>
      </c>
      <c r="F190" t="s">
        <v>49</v>
      </c>
      <c r="G190" t="s">
        <v>889</v>
      </c>
      <c r="H190">
        <v>1117</v>
      </c>
      <c r="I190" t="s">
        <v>51</v>
      </c>
      <c r="J190" t="s">
        <v>52</v>
      </c>
      <c r="K190" t="s">
        <v>64</v>
      </c>
      <c r="L190" t="s">
        <v>56</v>
      </c>
      <c r="M190" t="s">
        <v>54</v>
      </c>
      <c r="N190">
        <v>2</v>
      </c>
      <c r="O190">
        <v>-2</v>
      </c>
      <c r="P190">
        <v>0</v>
      </c>
      <c r="Q190">
        <v>45</v>
      </c>
      <c r="R190">
        <v>0</v>
      </c>
      <c r="T190">
        <v>0</v>
      </c>
      <c r="U190">
        <v>1</v>
      </c>
      <c r="V190">
        <v>1050</v>
      </c>
      <c r="W190">
        <v>9</v>
      </c>
      <c r="X190" t="s">
        <v>71</v>
      </c>
      <c r="Y190">
        <v>1</v>
      </c>
      <c r="Z190">
        <v>2</v>
      </c>
      <c r="AA190">
        <v>65</v>
      </c>
      <c r="AB190">
        <v>2</v>
      </c>
      <c r="AC190">
        <v>2</v>
      </c>
      <c r="AD190">
        <v>1</v>
      </c>
      <c r="AE190">
        <v>5593</v>
      </c>
      <c r="AF190">
        <v>17970</v>
      </c>
      <c r="AG190">
        <v>1</v>
      </c>
      <c r="AH190">
        <v>13</v>
      </c>
      <c r="AI190">
        <v>3</v>
      </c>
      <c r="AJ190">
        <v>4</v>
      </c>
      <c r="AK190">
        <v>80</v>
      </c>
      <c r="AL190">
        <v>1</v>
      </c>
      <c r="AM190">
        <v>15</v>
      </c>
      <c r="AN190">
        <v>3</v>
      </c>
      <c r="AO190">
        <v>15</v>
      </c>
      <c r="AP190">
        <v>10</v>
      </c>
      <c r="AQ190">
        <v>4</v>
      </c>
      <c r="AR190">
        <v>12</v>
      </c>
    </row>
    <row r="191" spans="1:44" x14ac:dyDescent="0.35">
      <c r="A191" t="s">
        <v>56</v>
      </c>
      <c r="B191" t="s">
        <v>57</v>
      </c>
      <c r="C191" t="s">
        <v>69</v>
      </c>
      <c r="D191" t="s">
        <v>59</v>
      </c>
      <c r="E191" t="s">
        <v>48</v>
      </c>
      <c r="F191" t="s">
        <v>49</v>
      </c>
      <c r="G191" t="s">
        <v>886</v>
      </c>
      <c r="H191">
        <v>1114</v>
      </c>
      <c r="I191" t="s">
        <v>51</v>
      </c>
      <c r="J191" t="s">
        <v>52</v>
      </c>
      <c r="K191" t="s">
        <v>64</v>
      </c>
      <c r="L191" t="s">
        <v>56</v>
      </c>
      <c r="M191" t="s">
        <v>54</v>
      </c>
      <c r="N191">
        <v>3</v>
      </c>
      <c r="O191">
        <v>-2</v>
      </c>
      <c r="P191">
        <v>0</v>
      </c>
      <c r="Q191">
        <v>33</v>
      </c>
      <c r="R191">
        <v>0</v>
      </c>
      <c r="T191">
        <v>0</v>
      </c>
      <c r="U191">
        <v>1</v>
      </c>
      <c r="V191">
        <v>970</v>
      </c>
      <c r="W191">
        <v>7</v>
      </c>
      <c r="X191" t="s">
        <v>77</v>
      </c>
      <c r="Y191">
        <v>1</v>
      </c>
      <c r="Z191">
        <v>4</v>
      </c>
      <c r="AA191">
        <v>30</v>
      </c>
      <c r="AB191">
        <v>3</v>
      </c>
      <c r="AC191">
        <v>2</v>
      </c>
      <c r="AD191">
        <v>1</v>
      </c>
      <c r="AE191">
        <v>4302</v>
      </c>
      <c r="AF191">
        <v>13401</v>
      </c>
      <c r="AG191">
        <v>0</v>
      </c>
      <c r="AH191">
        <v>17</v>
      </c>
      <c r="AI191">
        <v>3</v>
      </c>
      <c r="AJ191">
        <v>3</v>
      </c>
      <c r="AK191">
        <v>80</v>
      </c>
      <c r="AL191">
        <v>1</v>
      </c>
      <c r="AM191">
        <v>4</v>
      </c>
      <c r="AN191">
        <v>3</v>
      </c>
      <c r="AO191">
        <v>3</v>
      </c>
      <c r="AP191">
        <v>2</v>
      </c>
      <c r="AQ191">
        <v>0</v>
      </c>
      <c r="AR191">
        <v>2</v>
      </c>
    </row>
    <row r="192" spans="1:44" x14ac:dyDescent="0.35">
      <c r="A192" t="s">
        <v>44</v>
      </c>
      <c r="B192" t="s">
        <v>57</v>
      </c>
      <c r="C192" t="s">
        <v>58</v>
      </c>
      <c r="D192" t="s">
        <v>47</v>
      </c>
      <c r="E192" t="s">
        <v>48</v>
      </c>
      <c r="F192" t="s">
        <v>66</v>
      </c>
      <c r="G192" t="s">
        <v>885</v>
      </c>
      <c r="H192">
        <v>1113</v>
      </c>
      <c r="I192" t="s">
        <v>62</v>
      </c>
      <c r="J192" t="s">
        <v>52</v>
      </c>
      <c r="K192" t="s">
        <v>53</v>
      </c>
      <c r="L192" t="s">
        <v>44</v>
      </c>
      <c r="M192" t="s">
        <v>54</v>
      </c>
      <c r="N192">
        <v>4</v>
      </c>
      <c r="O192">
        <v>-2</v>
      </c>
      <c r="P192">
        <v>0</v>
      </c>
      <c r="Q192">
        <v>50</v>
      </c>
      <c r="R192">
        <v>1</v>
      </c>
      <c r="S192">
        <v>1</v>
      </c>
      <c r="T192">
        <v>1</v>
      </c>
      <c r="U192">
        <v>0</v>
      </c>
      <c r="V192">
        <v>959</v>
      </c>
      <c r="W192">
        <v>1</v>
      </c>
      <c r="X192" t="s">
        <v>71</v>
      </c>
      <c r="Y192">
        <v>1</v>
      </c>
      <c r="Z192">
        <v>4</v>
      </c>
      <c r="AA192">
        <v>81</v>
      </c>
      <c r="AB192">
        <v>3</v>
      </c>
      <c r="AC192">
        <v>2</v>
      </c>
      <c r="AD192">
        <v>3</v>
      </c>
      <c r="AE192">
        <v>4728</v>
      </c>
      <c r="AF192">
        <v>17251</v>
      </c>
      <c r="AG192">
        <v>3</v>
      </c>
      <c r="AH192">
        <v>14</v>
      </c>
      <c r="AI192">
        <v>3</v>
      </c>
      <c r="AJ192">
        <v>4</v>
      </c>
      <c r="AK192">
        <v>80</v>
      </c>
      <c r="AL192">
        <v>0</v>
      </c>
      <c r="AM192">
        <v>5</v>
      </c>
      <c r="AN192">
        <v>3</v>
      </c>
      <c r="AO192">
        <v>0</v>
      </c>
      <c r="AP192">
        <v>0</v>
      </c>
      <c r="AQ192">
        <v>0</v>
      </c>
      <c r="AR192">
        <v>0</v>
      </c>
    </row>
    <row r="193" spans="1:44" x14ac:dyDescent="0.35">
      <c r="A193" t="s">
        <v>56</v>
      </c>
      <c r="B193" t="s">
        <v>45</v>
      </c>
      <c r="C193" t="s">
        <v>46</v>
      </c>
      <c r="D193" t="s">
        <v>59</v>
      </c>
      <c r="E193" t="s">
        <v>48</v>
      </c>
      <c r="F193" t="s">
        <v>49</v>
      </c>
      <c r="G193" t="s">
        <v>879</v>
      </c>
      <c r="H193">
        <v>1105</v>
      </c>
      <c r="I193" t="s">
        <v>51</v>
      </c>
      <c r="J193" t="s">
        <v>52</v>
      </c>
      <c r="K193" t="s">
        <v>79</v>
      </c>
      <c r="L193" t="s">
        <v>44</v>
      </c>
      <c r="M193" t="s">
        <v>54</v>
      </c>
      <c r="N193">
        <v>5</v>
      </c>
      <c r="O193">
        <v>-2</v>
      </c>
      <c r="P193">
        <v>0</v>
      </c>
      <c r="Q193">
        <v>37</v>
      </c>
      <c r="R193">
        <v>0</v>
      </c>
      <c r="T193">
        <v>0</v>
      </c>
      <c r="U193">
        <v>1</v>
      </c>
      <c r="V193">
        <v>309</v>
      </c>
      <c r="W193">
        <v>10</v>
      </c>
      <c r="X193" t="s">
        <v>71</v>
      </c>
      <c r="Y193">
        <v>1</v>
      </c>
      <c r="Z193">
        <v>4</v>
      </c>
      <c r="AA193">
        <v>88</v>
      </c>
      <c r="AB193">
        <v>2</v>
      </c>
      <c r="AC193">
        <v>2</v>
      </c>
      <c r="AD193">
        <v>1</v>
      </c>
      <c r="AE193">
        <v>6694</v>
      </c>
      <c r="AF193">
        <v>24223</v>
      </c>
      <c r="AG193">
        <v>2</v>
      </c>
      <c r="AH193">
        <v>14</v>
      </c>
      <c r="AI193">
        <v>3</v>
      </c>
      <c r="AJ193">
        <v>3</v>
      </c>
      <c r="AK193">
        <v>80</v>
      </c>
      <c r="AL193">
        <v>3</v>
      </c>
      <c r="AM193">
        <v>8</v>
      </c>
      <c r="AN193">
        <v>3</v>
      </c>
      <c r="AO193">
        <v>1</v>
      </c>
      <c r="AP193">
        <v>0</v>
      </c>
      <c r="AQ193">
        <v>0</v>
      </c>
      <c r="AR193">
        <v>0</v>
      </c>
    </row>
    <row r="194" spans="1:44" x14ac:dyDescent="0.35">
      <c r="A194" t="s">
        <v>44</v>
      </c>
      <c r="B194" t="s">
        <v>45</v>
      </c>
      <c r="C194" t="s">
        <v>46</v>
      </c>
      <c r="D194" t="s">
        <v>47</v>
      </c>
      <c r="E194" t="s">
        <v>48</v>
      </c>
      <c r="F194" t="s">
        <v>113</v>
      </c>
      <c r="G194" t="s">
        <v>875</v>
      </c>
      <c r="H194">
        <v>1100</v>
      </c>
      <c r="I194" t="s">
        <v>62</v>
      </c>
      <c r="J194" t="s">
        <v>52</v>
      </c>
      <c r="K194" t="s">
        <v>53</v>
      </c>
      <c r="L194" t="s">
        <v>44</v>
      </c>
      <c r="M194" t="s">
        <v>54</v>
      </c>
      <c r="N194">
        <v>2</v>
      </c>
      <c r="O194">
        <v>-2</v>
      </c>
      <c r="P194">
        <v>0</v>
      </c>
      <c r="Q194">
        <v>35</v>
      </c>
      <c r="R194">
        <v>1</v>
      </c>
      <c r="S194">
        <v>1</v>
      </c>
      <c r="T194">
        <v>1</v>
      </c>
      <c r="U194">
        <v>0</v>
      </c>
      <c r="V194">
        <v>1204</v>
      </c>
      <c r="W194">
        <v>4</v>
      </c>
      <c r="X194" t="s">
        <v>77</v>
      </c>
      <c r="Y194">
        <v>1</v>
      </c>
      <c r="Z194">
        <v>4</v>
      </c>
      <c r="AA194">
        <v>86</v>
      </c>
      <c r="AB194">
        <v>3</v>
      </c>
      <c r="AC194">
        <v>3</v>
      </c>
      <c r="AD194">
        <v>4</v>
      </c>
      <c r="AE194">
        <v>9582</v>
      </c>
      <c r="AF194">
        <v>10333</v>
      </c>
      <c r="AG194">
        <v>0</v>
      </c>
      <c r="AH194">
        <v>22</v>
      </c>
      <c r="AI194">
        <v>4</v>
      </c>
      <c r="AJ194">
        <v>1</v>
      </c>
      <c r="AK194">
        <v>80</v>
      </c>
      <c r="AL194">
        <v>0</v>
      </c>
      <c r="AM194">
        <v>9</v>
      </c>
      <c r="AN194">
        <v>3</v>
      </c>
      <c r="AO194">
        <v>8</v>
      </c>
      <c r="AP194">
        <v>7</v>
      </c>
      <c r="AQ194">
        <v>4</v>
      </c>
      <c r="AR194">
        <v>7</v>
      </c>
    </row>
    <row r="195" spans="1:44" x14ac:dyDescent="0.35">
      <c r="A195" t="s">
        <v>56</v>
      </c>
      <c r="B195" t="s">
        <v>45</v>
      </c>
      <c r="C195" t="s">
        <v>46</v>
      </c>
      <c r="D195" t="s">
        <v>59</v>
      </c>
      <c r="E195" t="s">
        <v>48</v>
      </c>
      <c r="F195" t="s">
        <v>72</v>
      </c>
      <c r="G195" t="s">
        <v>859</v>
      </c>
      <c r="H195">
        <v>1076</v>
      </c>
      <c r="I195" t="s">
        <v>62</v>
      </c>
      <c r="J195" t="s">
        <v>52</v>
      </c>
      <c r="K195" t="s">
        <v>79</v>
      </c>
      <c r="L195" t="s">
        <v>56</v>
      </c>
      <c r="M195" t="s">
        <v>54</v>
      </c>
      <c r="N195">
        <v>5</v>
      </c>
      <c r="O195">
        <v>-2</v>
      </c>
      <c r="P195">
        <v>0</v>
      </c>
      <c r="Q195">
        <v>43</v>
      </c>
      <c r="R195">
        <v>0</v>
      </c>
      <c r="T195">
        <v>0</v>
      </c>
      <c r="U195">
        <v>1</v>
      </c>
      <c r="V195">
        <v>415</v>
      </c>
      <c r="W195">
        <v>25</v>
      </c>
      <c r="X195" t="s">
        <v>77</v>
      </c>
      <c r="Y195">
        <v>1</v>
      </c>
      <c r="Z195">
        <v>3</v>
      </c>
      <c r="AA195">
        <v>79</v>
      </c>
      <c r="AB195">
        <v>2</v>
      </c>
      <c r="AC195">
        <v>3</v>
      </c>
      <c r="AD195">
        <v>4</v>
      </c>
      <c r="AE195">
        <v>10798</v>
      </c>
      <c r="AF195">
        <v>5268</v>
      </c>
      <c r="AG195">
        <v>5</v>
      </c>
      <c r="AH195">
        <v>13</v>
      </c>
      <c r="AI195">
        <v>3</v>
      </c>
      <c r="AJ195">
        <v>3</v>
      </c>
      <c r="AK195">
        <v>80</v>
      </c>
      <c r="AL195">
        <v>1</v>
      </c>
      <c r="AM195">
        <v>18</v>
      </c>
      <c r="AN195">
        <v>3</v>
      </c>
      <c r="AO195">
        <v>1</v>
      </c>
      <c r="AP195">
        <v>0</v>
      </c>
      <c r="AQ195">
        <v>0</v>
      </c>
      <c r="AR195">
        <v>0</v>
      </c>
    </row>
    <row r="196" spans="1:44" x14ac:dyDescent="0.35">
      <c r="A196" t="s">
        <v>56</v>
      </c>
      <c r="B196" t="s">
        <v>45</v>
      </c>
      <c r="C196" t="s">
        <v>58</v>
      </c>
      <c r="D196" t="s">
        <v>59</v>
      </c>
      <c r="E196" t="s">
        <v>48</v>
      </c>
      <c r="F196" t="s">
        <v>49</v>
      </c>
      <c r="G196" t="s">
        <v>855</v>
      </c>
      <c r="H196">
        <v>1070</v>
      </c>
      <c r="I196" t="s">
        <v>51</v>
      </c>
      <c r="J196" t="s">
        <v>52</v>
      </c>
      <c r="K196" t="s">
        <v>64</v>
      </c>
      <c r="L196" t="s">
        <v>56</v>
      </c>
      <c r="M196" t="s">
        <v>54</v>
      </c>
      <c r="N196">
        <v>4</v>
      </c>
      <c r="O196">
        <v>-2</v>
      </c>
      <c r="P196">
        <v>0</v>
      </c>
      <c r="Q196">
        <v>54</v>
      </c>
      <c r="R196">
        <v>0</v>
      </c>
      <c r="T196">
        <v>0</v>
      </c>
      <c r="U196">
        <v>1</v>
      </c>
      <c r="V196">
        <v>1082</v>
      </c>
      <c r="W196">
        <v>2</v>
      </c>
      <c r="X196" t="s">
        <v>71</v>
      </c>
      <c r="Y196">
        <v>1</v>
      </c>
      <c r="Z196">
        <v>3</v>
      </c>
      <c r="AA196">
        <v>41</v>
      </c>
      <c r="AB196">
        <v>2</v>
      </c>
      <c r="AC196">
        <v>3</v>
      </c>
      <c r="AD196">
        <v>1</v>
      </c>
      <c r="AE196">
        <v>10686</v>
      </c>
      <c r="AF196">
        <v>8392</v>
      </c>
      <c r="AG196">
        <v>6</v>
      </c>
      <c r="AH196">
        <v>11</v>
      </c>
      <c r="AI196">
        <v>3</v>
      </c>
      <c r="AJ196">
        <v>2</v>
      </c>
      <c r="AK196">
        <v>80</v>
      </c>
      <c r="AL196">
        <v>1</v>
      </c>
      <c r="AM196">
        <v>13</v>
      </c>
      <c r="AN196">
        <v>3</v>
      </c>
      <c r="AO196">
        <v>9</v>
      </c>
      <c r="AP196">
        <v>4</v>
      </c>
      <c r="AQ196">
        <v>7</v>
      </c>
      <c r="AR196">
        <v>0</v>
      </c>
    </row>
    <row r="197" spans="1:44" x14ac:dyDescent="0.35">
      <c r="A197" t="s">
        <v>56</v>
      </c>
      <c r="B197" t="s">
        <v>45</v>
      </c>
      <c r="C197" t="s">
        <v>46</v>
      </c>
      <c r="D197" t="s">
        <v>59</v>
      </c>
      <c r="E197" t="s">
        <v>48</v>
      </c>
      <c r="F197" t="s">
        <v>106</v>
      </c>
      <c r="G197" t="s">
        <v>852</v>
      </c>
      <c r="H197">
        <v>1066</v>
      </c>
      <c r="I197" t="s">
        <v>62</v>
      </c>
      <c r="J197" t="s">
        <v>52</v>
      </c>
      <c r="K197" t="s">
        <v>64</v>
      </c>
      <c r="L197" t="s">
        <v>56</v>
      </c>
      <c r="M197" t="s">
        <v>54</v>
      </c>
      <c r="N197">
        <v>3</v>
      </c>
      <c r="O197">
        <v>-2</v>
      </c>
      <c r="P197">
        <v>0</v>
      </c>
      <c r="Q197">
        <v>40</v>
      </c>
      <c r="R197">
        <v>0</v>
      </c>
      <c r="T197">
        <v>0</v>
      </c>
      <c r="U197">
        <v>1</v>
      </c>
      <c r="V197">
        <v>300</v>
      </c>
      <c r="W197">
        <v>26</v>
      </c>
      <c r="X197" t="s">
        <v>77</v>
      </c>
      <c r="Y197">
        <v>1</v>
      </c>
      <c r="Z197">
        <v>3</v>
      </c>
      <c r="AA197">
        <v>74</v>
      </c>
      <c r="AB197">
        <v>3</v>
      </c>
      <c r="AC197">
        <v>2</v>
      </c>
      <c r="AD197">
        <v>2</v>
      </c>
      <c r="AE197">
        <v>8396</v>
      </c>
      <c r="AF197">
        <v>22217</v>
      </c>
      <c r="AG197">
        <v>1</v>
      </c>
      <c r="AH197">
        <v>14</v>
      </c>
      <c r="AI197">
        <v>3</v>
      </c>
      <c r="AJ197">
        <v>2</v>
      </c>
      <c r="AK197">
        <v>80</v>
      </c>
      <c r="AL197">
        <v>1</v>
      </c>
      <c r="AM197">
        <v>8</v>
      </c>
      <c r="AN197">
        <v>2</v>
      </c>
      <c r="AO197">
        <v>7</v>
      </c>
      <c r="AP197">
        <v>7</v>
      </c>
      <c r="AQ197">
        <v>7</v>
      </c>
      <c r="AR197">
        <v>5</v>
      </c>
    </row>
    <row r="198" spans="1:44" x14ac:dyDescent="0.35">
      <c r="A198" t="s">
        <v>56</v>
      </c>
      <c r="B198" t="s">
        <v>57</v>
      </c>
      <c r="C198" t="s">
        <v>58</v>
      </c>
      <c r="D198" t="s">
        <v>59</v>
      </c>
      <c r="E198" t="s">
        <v>48</v>
      </c>
      <c r="F198" t="s">
        <v>106</v>
      </c>
      <c r="G198" t="s">
        <v>844</v>
      </c>
      <c r="H198">
        <v>1050</v>
      </c>
      <c r="I198" t="s">
        <v>51</v>
      </c>
      <c r="J198" t="s">
        <v>52</v>
      </c>
      <c r="K198" t="s">
        <v>64</v>
      </c>
      <c r="L198" t="s">
        <v>56</v>
      </c>
      <c r="M198" t="s">
        <v>54</v>
      </c>
      <c r="N198">
        <v>2</v>
      </c>
      <c r="O198">
        <v>-2</v>
      </c>
      <c r="P198">
        <v>0</v>
      </c>
      <c r="Q198">
        <v>53</v>
      </c>
      <c r="R198">
        <v>0</v>
      </c>
      <c r="T198">
        <v>0</v>
      </c>
      <c r="U198">
        <v>1</v>
      </c>
      <c r="V198">
        <v>124</v>
      </c>
      <c r="W198">
        <v>2</v>
      </c>
      <c r="X198" t="s">
        <v>77</v>
      </c>
      <c r="Y198">
        <v>1</v>
      </c>
      <c r="Z198">
        <v>3</v>
      </c>
      <c r="AA198">
        <v>38</v>
      </c>
      <c r="AB198">
        <v>2</v>
      </c>
      <c r="AC198">
        <v>3</v>
      </c>
      <c r="AD198">
        <v>2</v>
      </c>
      <c r="AE198">
        <v>7525</v>
      </c>
      <c r="AF198">
        <v>23537</v>
      </c>
      <c r="AG198">
        <v>2</v>
      </c>
      <c r="AH198">
        <v>12</v>
      </c>
      <c r="AI198">
        <v>3</v>
      </c>
      <c r="AJ198">
        <v>1</v>
      </c>
      <c r="AK198">
        <v>80</v>
      </c>
      <c r="AL198">
        <v>1</v>
      </c>
      <c r="AM198">
        <v>30</v>
      </c>
      <c r="AN198">
        <v>3</v>
      </c>
      <c r="AO198">
        <v>15</v>
      </c>
      <c r="AP198">
        <v>7</v>
      </c>
      <c r="AQ198">
        <v>6</v>
      </c>
      <c r="AR198">
        <v>12</v>
      </c>
    </row>
    <row r="199" spans="1:44" x14ac:dyDescent="0.35">
      <c r="A199" t="s">
        <v>56</v>
      </c>
      <c r="B199" t="s">
        <v>45</v>
      </c>
      <c r="C199" t="s">
        <v>69</v>
      </c>
      <c r="D199" t="s">
        <v>59</v>
      </c>
      <c r="E199" t="s">
        <v>48</v>
      </c>
      <c r="F199" t="s">
        <v>106</v>
      </c>
      <c r="G199" t="s">
        <v>841</v>
      </c>
      <c r="H199">
        <v>1047</v>
      </c>
      <c r="I199" t="s">
        <v>62</v>
      </c>
      <c r="J199" t="s">
        <v>52</v>
      </c>
      <c r="K199" t="s">
        <v>79</v>
      </c>
      <c r="L199" t="s">
        <v>56</v>
      </c>
      <c r="M199" t="s">
        <v>54</v>
      </c>
      <c r="N199">
        <v>2</v>
      </c>
      <c r="O199">
        <v>-2</v>
      </c>
      <c r="P199">
        <v>0</v>
      </c>
      <c r="Q199">
        <v>34</v>
      </c>
      <c r="R199">
        <v>0</v>
      </c>
      <c r="T199">
        <v>0</v>
      </c>
      <c r="U199">
        <v>1</v>
      </c>
      <c r="V199">
        <v>216</v>
      </c>
      <c r="W199">
        <v>1</v>
      </c>
      <c r="X199" t="s">
        <v>71</v>
      </c>
      <c r="Y199">
        <v>1</v>
      </c>
      <c r="Z199">
        <v>2</v>
      </c>
      <c r="AA199">
        <v>75</v>
      </c>
      <c r="AB199">
        <v>4</v>
      </c>
      <c r="AC199">
        <v>2</v>
      </c>
      <c r="AD199">
        <v>2</v>
      </c>
      <c r="AE199">
        <v>9725</v>
      </c>
      <c r="AF199">
        <v>12278</v>
      </c>
      <c r="AG199">
        <v>0</v>
      </c>
      <c r="AH199">
        <v>11</v>
      </c>
      <c r="AI199">
        <v>3</v>
      </c>
      <c r="AJ199">
        <v>4</v>
      </c>
      <c r="AK199">
        <v>80</v>
      </c>
      <c r="AL199">
        <v>1</v>
      </c>
      <c r="AM199">
        <v>16</v>
      </c>
      <c r="AN199">
        <v>2</v>
      </c>
      <c r="AO199">
        <v>15</v>
      </c>
      <c r="AP199">
        <v>1</v>
      </c>
      <c r="AQ199">
        <v>0</v>
      </c>
      <c r="AR199">
        <v>9</v>
      </c>
    </row>
    <row r="200" spans="1:44" x14ac:dyDescent="0.35">
      <c r="A200" t="s">
        <v>56</v>
      </c>
      <c r="B200" t="s">
        <v>91</v>
      </c>
      <c r="C200" t="s">
        <v>58</v>
      </c>
      <c r="D200" t="s">
        <v>59</v>
      </c>
      <c r="E200" t="s">
        <v>48</v>
      </c>
      <c r="F200" t="s">
        <v>49</v>
      </c>
      <c r="G200" t="s">
        <v>835</v>
      </c>
      <c r="H200">
        <v>1040</v>
      </c>
      <c r="I200" t="s">
        <v>51</v>
      </c>
      <c r="J200" t="s">
        <v>52</v>
      </c>
      <c r="K200" t="s">
        <v>64</v>
      </c>
      <c r="L200" t="s">
        <v>56</v>
      </c>
      <c r="M200" t="s">
        <v>54</v>
      </c>
      <c r="N200">
        <v>3</v>
      </c>
      <c r="O200">
        <v>-2</v>
      </c>
      <c r="P200">
        <v>0</v>
      </c>
      <c r="Q200">
        <v>50</v>
      </c>
      <c r="R200">
        <v>0</v>
      </c>
      <c r="T200">
        <v>0</v>
      </c>
      <c r="U200">
        <v>1</v>
      </c>
      <c r="V200">
        <v>145</v>
      </c>
      <c r="W200">
        <v>1</v>
      </c>
      <c r="X200" t="s">
        <v>77</v>
      </c>
      <c r="Y200">
        <v>1</v>
      </c>
      <c r="Z200">
        <v>4</v>
      </c>
      <c r="AA200">
        <v>95</v>
      </c>
      <c r="AB200">
        <v>3</v>
      </c>
      <c r="AC200">
        <v>2</v>
      </c>
      <c r="AD200">
        <v>1</v>
      </c>
      <c r="AE200">
        <v>6347</v>
      </c>
      <c r="AF200">
        <v>24920</v>
      </c>
      <c r="AG200">
        <v>0</v>
      </c>
      <c r="AH200">
        <v>12</v>
      </c>
      <c r="AI200">
        <v>3</v>
      </c>
      <c r="AJ200">
        <v>1</v>
      </c>
      <c r="AK200">
        <v>80</v>
      </c>
      <c r="AL200">
        <v>1</v>
      </c>
      <c r="AM200">
        <v>19</v>
      </c>
      <c r="AN200">
        <v>3</v>
      </c>
      <c r="AO200">
        <v>18</v>
      </c>
      <c r="AP200">
        <v>7</v>
      </c>
      <c r="AQ200">
        <v>0</v>
      </c>
      <c r="AR200">
        <v>13</v>
      </c>
    </row>
    <row r="201" spans="1:44" x14ac:dyDescent="0.35">
      <c r="A201" t="s">
        <v>56</v>
      </c>
      <c r="B201" t="s">
        <v>45</v>
      </c>
      <c r="C201" t="s">
        <v>46</v>
      </c>
      <c r="D201" t="s">
        <v>59</v>
      </c>
      <c r="E201" t="s">
        <v>48</v>
      </c>
      <c r="F201" t="s">
        <v>72</v>
      </c>
      <c r="G201" t="s">
        <v>834</v>
      </c>
      <c r="H201">
        <v>1039</v>
      </c>
      <c r="I201" t="s">
        <v>51</v>
      </c>
      <c r="J201" t="s">
        <v>52</v>
      </c>
      <c r="K201" t="s">
        <v>64</v>
      </c>
      <c r="L201" t="s">
        <v>44</v>
      </c>
      <c r="M201" t="s">
        <v>54</v>
      </c>
      <c r="N201">
        <v>2</v>
      </c>
      <c r="O201">
        <v>-2</v>
      </c>
      <c r="P201">
        <v>0</v>
      </c>
      <c r="Q201">
        <v>44</v>
      </c>
      <c r="R201">
        <v>0</v>
      </c>
      <c r="T201">
        <v>0</v>
      </c>
      <c r="U201">
        <v>1</v>
      </c>
      <c r="V201">
        <v>1448</v>
      </c>
      <c r="W201">
        <v>28</v>
      </c>
      <c r="X201" t="s">
        <v>77</v>
      </c>
      <c r="Y201">
        <v>1</v>
      </c>
      <c r="Z201">
        <v>4</v>
      </c>
      <c r="AA201">
        <v>53</v>
      </c>
      <c r="AB201">
        <v>4</v>
      </c>
      <c r="AC201">
        <v>4</v>
      </c>
      <c r="AD201">
        <v>4</v>
      </c>
      <c r="AE201">
        <v>13320</v>
      </c>
      <c r="AF201">
        <v>11737</v>
      </c>
      <c r="AG201">
        <v>3</v>
      </c>
      <c r="AH201">
        <v>18</v>
      </c>
      <c r="AI201">
        <v>3</v>
      </c>
      <c r="AJ201">
        <v>3</v>
      </c>
      <c r="AK201">
        <v>80</v>
      </c>
      <c r="AL201">
        <v>1</v>
      </c>
      <c r="AM201">
        <v>23</v>
      </c>
      <c r="AN201">
        <v>3</v>
      </c>
      <c r="AO201">
        <v>12</v>
      </c>
      <c r="AP201">
        <v>11</v>
      </c>
      <c r="AQ201">
        <v>11</v>
      </c>
      <c r="AR201">
        <v>11</v>
      </c>
    </row>
    <row r="202" spans="1:44" x14ac:dyDescent="0.35">
      <c r="A202" t="s">
        <v>44</v>
      </c>
      <c r="B202" t="s">
        <v>91</v>
      </c>
      <c r="C202" t="s">
        <v>69</v>
      </c>
      <c r="D202" t="s">
        <v>47</v>
      </c>
      <c r="E202" t="s">
        <v>48</v>
      </c>
      <c r="F202" t="s">
        <v>72</v>
      </c>
      <c r="G202" t="s">
        <v>832</v>
      </c>
      <c r="H202">
        <v>1037</v>
      </c>
      <c r="I202" t="s">
        <v>62</v>
      </c>
      <c r="J202" t="s">
        <v>52</v>
      </c>
      <c r="K202" t="s">
        <v>53</v>
      </c>
      <c r="L202" t="s">
        <v>56</v>
      </c>
      <c r="M202" t="s">
        <v>54</v>
      </c>
      <c r="N202">
        <v>6</v>
      </c>
      <c r="O202">
        <v>-2</v>
      </c>
      <c r="P202">
        <v>0</v>
      </c>
      <c r="Q202">
        <v>26</v>
      </c>
      <c r="R202">
        <v>1</v>
      </c>
      <c r="S202">
        <v>1</v>
      </c>
      <c r="T202">
        <v>1</v>
      </c>
      <c r="U202">
        <v>0</v>
      </c>
      <c r="V202">
        <v>265</v>
      </c>
      <c r="W202">
        <v>29</v>
      </c>
      <c r="X202" t="s">
        <v>55</v>
      </c>
      <c r="Y202">
        <v>1</v>
      </c>
      <c r="Z202">
        <v>2</v>
      </c>
      <c r="AA202">
        <v>79</v>
      </c>
      <c r="AB202">
        <v>1</v>
      </c>
      <c r="AC202">
        <v>2</v>
      </c>
      <c r="AD202">
        <v>3</v>
      </c>
      <c r="AE202">
        <v>4969</v>
      </c>
      <c r="AF202">
        <v>21813</v>
      </c>
      <c r="AG202">
        <v>8</v>
      </c>
      <c r="AH202">
        <v>18</v>
      </c>
      <c r="AI202">
        <v>3</v>
      </c>
      <c r="AJ202">
        <v>4</v>
      </c>
      <c r="AK202">
        <v>80</v>
      </c>
      <c r="AL202">
        <v>0</v>
      </c>
      <c r="AM202">
        <v>7</v>
      </c>
      <c r="AN202">
        <v>3</v>
      </c>
      <c r="AO202">
        <v>2</v>
      </c>
      <c r="AP202">
        <v>2</v>
      </c>
      <c r="AQ202">
        <v>2</v>
      </c>
      <c r="AR202">
        <v>2</v>
      </c>
    </row>
    <row r="203" spans="1:44" x14ac:dyDescent="0.35">
      <c r="A203" t="s">
        <v>56</v>
      </c>
      <c r="B203" t="s">
        <v>45</v>
      </c>
      <c r="C203" t="s">
        <v>46</v>
      </c>
      <c r="D203" t="s">
        <v>59</v>
      </c>
      <c r="E203" t="s">
        <v>48</v>
      </c>
      <c r="F203" t="s">
        <v>49</v>
      </c>
      <c r="G203" t="s">
        <v>831</v>
      </c>
      <c r="H203">
        <v>1036</v>
      </c>
      <c r="I203" t="s">
        <v>62</v>
      </c>
      <c r="J203" t="s">
        <v>52</v>
      </c>
      <c r="K203" t="s">
        <v>53</v>
      </c>
      <c r="L203" t="s">
        <v>44</v>
      </c>
      <c r="M203" t="s">
        <v>54</v>
      </c>
      <c r="N203">
        <v>1</v>
      </c>
      <c r="O203">
        <v>-2</v>
      </c>
      <c r="P203">
        <v>0</v>
      </c>
      <c r="Q203">
        <v>38</v>
      </c>
      <c r="R203">
        <v>0</v>
      </c>
      <c r="T203">
        <v>0</v>
      </c>
      <c r="U203">
        <v>1</v>
      </c>
      <c r="V203">
        <v>1035</v>
      </c>
      <c r="W203">
        <v>3</v>
      </c>
      <c r="X203" t="s">
        <v>71</v>
      </c>
      <c r="Y203">
        <v>1</v>
      </c>
      <c r="Z203">
        <v>2</v>
      </c>
      <c r="AA203">
        <v>42</v>
      </c>
      <c r="AB203">
        <v>3</v>
      </c>
      <c r="AC203">
        <v>2</v>
      </c>
      <c r="AD203">
        <v>1</v>
      </c>
      <c r="AE203">
        <v>6861</v>
      </c>
      <c r="AF203">
        <v>4981</v>
      </c>
      <c r="AG203">
        <v>8</v>
      </c>
      <c r="AH203">
        <v>12</v>
      </c>
      <c r="AI203">
        <v>3</v>
      </c>
      <c r="AJ203">
        <v>3</v>
      </c>
      <c r="AK203">
        <v>80</v>
      </c>
      <c r="AL203">
        <v>0</v>
      </c>
      <c r="AM203">
        <v>19</v>
      </c>
      <c r="AN203">
        <v>3</v>
      </c>
      <c r="AO203">
        <v>1</v>
      </c>
      <c r="AP203">
        <v>0</v>
      </c>
      <c r="AQ203">
        <v>0</v>
      </c>
      <c r="AR203">
        <v>0</v>
      </c>
    </row>
    <row r="204" spans="1:44" x14ac:dyDescent="0.35">
      <c r="A204" t="s">
        <v>56</v>
      </c>
      <c r="B204" t="s">
        <v>45</v>
      </c>
      <c r="C204" t="s">
        <v>58</v>
      </c>
      <c r="D204" t="s">
        <v>59</v>
      </c>
      <c r="E204" t="s">
        <v>48</v>
      </c>
      <c r="F204" t="s">
        <v>49</v>
      </c>
      <c r="G204" t="s">
        <v>803</v>
      </c>
      <c r="H204">
        <v>1003</v>
      </c>
      <c r="I204" t="s">
        <v>51</v>
      </c>
      <c r="J204" t="s">
        <v>52</v>
      </c>
      <c r="K204" t="s">
        <v>53</v>
      </c>
      <c r="L204" t="s">
        <v>44</v>
      </c>
      <c r="M204" t="s">
        <v>54</v>
      </c>
      <c r="N204">
        <v>0</v>
      </c>
      <c r="O204">
        <v>-2</v>
      </c>
      <c r="P204">
        <v>0</v>
      </c>
      <c r="Q204">
        <v>47</v>
      </c>
      <c r="R204">
        <v>0</v>
      </c>
      <c r="T204">
        <v>0</v>
      </c>
      <c r="U204">
        <v>1</v>
      </c>
      <c r="V204">
        <v>955</v>
      </c>
      <c r="W204">
        <v>4</v>
      </c>
      <c r="X204" t="s">
        <v>55</v>
      </c>
      <c r="Y204">
        <v>1</v>
      </c>
      <c r="Z204">
        <v>4</v>
      </c>
      <c r="AA204">
        <v>83</v>
      </c>
      <c r="AB204">
        <v>3</v>
      </c>
      <c r="AC204">
        <v>2</v>
      </c>
      <c r="AD204">
        <v>1</v>
      </c>
      <c r="AE204">
        <v>4163</v>
      </c>
      <c r="AF204">
        <v>8571</v>
      </c>
      <c r="AG204">
        <v>1</v>
      </c>
      <c r="AH204">
        <v>17</v>
      </c>
      <c r="AI204">
        <v>3</v>
      </c>
      <c r="AJ204">
        <v>3</v>
      </c>
      <c r="AK204">
        <v>80</v>
      </c>
      <c r="AL204">
        <v>0</v>
      </c>
      <c r="AM204">
        <v>9</v>
      </c>
      <c r="AN204">
        <v>3</v>
      </c>
      <c r="AO204">
        <v>9</v>
      </c>
      <c r="AP204">
        <v>0</v>
      </c>
      <c r="AQ204">
        <v>0</v>
      </c>
      <c r="AR204">
        <v>7</v>
      </c>
    </row>
    <row r="205" spans="1:44" x14ac:dyDescent="0.35">
      <c r="A205" t="s">
        <v>56</v>
      </c>
      <c r="B205" t="s">
        <v>91</v>
      </c>
      <c r="C205" t="s">
        <v>46</v>
      </c>
      <c r="D205" t="s">
        <v>59</v>
      </c>
      <c r="E205" t="s">
        <v>48</v>
      </c>
      <c r="F205" t="s">
        <v>113</v>
      </c>
      <c r="G205" t="s">
        <v>792</v>
      </c>
      <c r="H205">
        <v>990</v>
      </c>
      <c r="I205" t="s">
        <v>62</v>
      </c>
      <c r="J205" t="s">
        <v>52</v>
      </c>
      <c r="K205" t="s">
        <v>79</v>
      </c>
      <c r="L205" t="s">
        <v>56</v>
      </c>
      <c r="M205" t="s">
        <v>54</v>
      </c>
      <c r="N205">
        <v>3</v>
      </c>
      <c r="O205">
        <v>-2</v>
      </c>
      <c r="P205">
        <v>0</v>
      </c>
      <c r="Q205">
        <v>36</v>
      </c>
      <c r="R205">
        <v>0</v>
      </c>
      <c r="T205">
        <v>0</v>
      </c>
      <c r="U205">
        <v>1</v>
      </c>
      <c r="V205">
        <v>1229</v>
      </c>
      <c r="W205">
        <v>8</v>
      </c>
      <c r="X205" t="s">
        <v>71</v>
      </c>
      <c r="Y205">
        <v>1</v>
      </c>
      <c r="Z205">
        <v>4</v>
      </c>
      <c r="AA205">
        <v>84</v>
      </c>
      <c r="AB205">
        <v>3</v>
      </c>
      <c r="AC205">
        <v>2</v>
      </c>
      <c r="AD205">
        <v>4</v>
      </c>
      <c r="AE205">
        <v>5079</v>
      </c>
      <c r="AF205">
        <v>25952</v>
      </c>
      <c r="AG205">
        <v>4</v>
      </c>
      <c r="AH205">
        <v>13</v>
      </c>
      <c r="AI205">
        <v>3</v>
      </c>
      <c r="AJ205">
        <v>4</v>
      </c>
      <c r="AK205">
        <v>80</v>
      </c>
      <c r="AL205">
        <v>2</v>
      </c>
      <c r="AM205">
        <v>12</v>
      </c>
      <c r="AN205">
        <v>3</v>
      </c>
      <c r="AO205">
        <v>7</v>
      </c>
      <c r="AP205">
        <v>7</v>
      </c>
      <c r="AQ205">
        <v>0</v>
      </c>
      <c r="AR205">
        <v>7</v>
      </c>
    </row>
    <row r="206" spans="1:44" x14ac:dyDescent="0.35">
      <c r="A206" t="s">
        <v>44</v>
      </c>
      <c r="B206" t="s">
        <v>91</v>
      </c>
      <c r="C206" t="s">
        <v>46</v>
      </c>
      <c r="D206" t="s">
        <v>47</v>
      </c>
      <c r="E206" t="s">
        <v>48</v>
      </c>
      <c r="F206" t="s">
        <v>49</v>
      </c>
      <c r="G206" t="s">
        <v>790</v>
      </c>
      <c r="H206">
        <v>986</v>
      </c>
      <c r="I206" t="s">
        <v>51</v>
      </c>
      <c r="J206" t="s">
        <v>52</v>
      </c>
      <c r="K206" t="s">
        <v>53</v>
      </c>
      <c r="L206" t="s">
        <v>44</v>
      </c>
      <c r="M206" t="s">
        <v>54</v>
      </c>
      <c r="N206">
        <v>2</v>
      </c>
      <c r="O206">
        <v>-2</v>
      </c>
      <c r="P206">
        <v>0</v>
      </c>
      <c r="Q206">
        <v>40</v>
      </c>
      <c r="R206">
        <v>1</v>
      </c>
      <c r="S206">
        <v>1</v>
      </c>
      <c r="T206">
        <v>1</v>
      </c>
      <c r="U206">
        <v>0</v>
      </c>
      <c r="V206">
        <v>1479</v>
      </c>
      <c r="W206">
        <v>24</v>
      </c>
      <c r="X206" t="s">
        <v>77</v>
      </c>
      <c r="Y206">
        <v>1</v>
      </c>
      <c r="Z206">
        <v>2</v>
      </c>
      <c r="AA206">
        <v>100</v>
      </c>
      <c r="AB206">
        <v>4</v>
      </c>
      <c r="AC206">
        <v>4</v>
      </c>
      <c r="AD206">
        <v>1</v>
      </c>
      <c r="AE206">
        <v>13194</v>
      </c>
      <c r="AF206">
        <v>17071</v>
      </c>
      <c r="AG206">
        <v>4</v>
      </c>
      <c r="AH206">
        <v>16</v>
      </c>
      <c r="AI206">
        <v>3</v>
      </c>
      <c r="AJ206">
        <v>4</v>
      </c>
      <c r="AK206">
        <v>80</v>
      </c>
      <c r="AL206">
        <v>0</v>
      </c>
      <c r="AM206">
        <v>22</v>
      </c>
      <c r="AN206">
        <v>2</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46</v>
      </c>
      <c r="D208" t="s">
        <v>59</v>
      </c>
      <c r="E208" t="s">
        <v>48</v>
      </c>
      <c r="F208" t="s">
        <v>49</v>
      </c>
      <c r="G208" t="s">
        <v>789</v>
      </c>
      <c r="H208">
        <v>985</v>
      </c>
      <c r="I208" t="s">
        <v>62</v>
      </c>
      <c r="J208" t="s">
        <v>52</v>
      </c>
      <c r="K208" t="s">
        <v>53</v>
      </c>
      <c r="L208" t="s">
        <v>56</v>
      </c>
      <c r="M208" t="s">
        <v>54</v>
      </c>
      <c r="N208">
        <v>3</v>
      </c>
      <c r="O208">
        <v>-2</v>
      </c>
      <c r="P208">
        <v>0</v>
      </c>
      <c r="Q208">
        <v>39</v>
      </c>
      <c r="R208">
        <v>0</v>
      </c>
      <c r="T208">
        <v>0</v>
      </c>
      <c r="U208">
        <v>1</v>
      </c>
      <c r="V208">
        <v>903</v>
      </c>
      <c r="W208">
        <v>2</v>
      </c>
      <c r="X208" t="s">
        <v>134</v>
      </c>
      <c r="Y208">
        <v>1</v>
      </c>
      <c r="Z208">
        <v>1</v>
      </c>
      <c r="AA208">
        <v>41</v>
      </c>
      <c r="AB208">
        <v>4</v>
      </c>
      <c r="AC208">
        <v>3</v>
      </c>
      <c r="AD208">
        <v>1</v>
      </c>
      <c r="AE208">
        <v>7880</v>
      </c>
      <c r="AF208">
        <v>2560</v>
      </c>
      <c r="AG208">
        <v>0</v>
      </c>
      <c r="AH208">
        <v>18</v>
      </c>
      <c r="AI208">
        <v>3</v>
      </c>
      <c r="AJ208">
        <v>4</v>
      </c>
      <c r="AK208">
        <v>80</v>
      </c>
      <c r="AL208">
        <v>0</v>
      </c>
      <c r="AM208">
        <v>9</v>
      </c>
      <c r="AN208">
        <v>3</v>
      </c>
      <c r="AO208">
        <v>8</v>
      </c>
      <c r="AP208">
        <v>7</v>
      </c>
      <c r="AQ208">
        <v>0</v>
      </c>
      <c r="AR208">
        <v>7</v>
      </c>
    </row>
    <row r="209" spans="1:44" x14ac:dyDescent="0.35">
      <c r="A209" t="s">
        <v>56</v>
      </c>
      <c r="B209" t="s">
        <v>45</v>
      </c>
      <c r="C209" t="s">
        <v>46</v>
      </c>
      <c r="D209" t="s">
        <v>59</v>
      </c>
      <c r="E209" t="s">
        <v>48</v>
      </c>
      <c r="F209" t="s">
        <v>49</v>
      </c>
      <c r="G209" t="s">
        <v>788</v>
      </c>
      <c r="H209">
        <v>984</v>
      </c>
      <c r="I209" t="s">
        <v>62</v>
      </c>
      <c r="J209" t="s">
        <v>52</v>
      </c>
      <c r="K209" t="s">
        <v>79</v>
      </c>
      <c r="L209" t="s">
        <v>56</v>
      </c>
      <c r="M209" t="s">
        <v>54</v>
      </c>
      <c r="N209">
        <v>2</v>
      </c>
      <c r="O209">
        <v>-2</v>
      </c>
      <c r="P209">
        <v>0</v>
      </c>
      <c r="Q209">
        <v>35</v>
      </c>
      <c r="R209">
        <v>0</v>
      </c>
      <c r="T209">
        <v>0</v>
      </c>
      <c r="U209">
        <v>1</v>
      </c>
      <c r="V209">
        <v>882</v>
      </c>
      <c r="W209">
        <v>3</v>
      </c>
      <c r="X209" t="s">
        <v>71</v>
      </c>
      <c r="Y209">
        <v>1</v>
      </c>
      <c r="Z209">
        <v>4</v>
      </c>
      <c r="AA209">
        <v>92</v>
      </c>
      <c r="AB209">
        <v>3</v>
      </c>
      <c r="AC209">
        <v>3</v>
      </c>
      <c r="AD209">
        <v>1</v>
      </c>
      <c r="AE209">
        <v>7823</v>
      </c>
      <c r="AF209">
        <v>6812</v>
      </c>
      <c r="AG209">
        <v>6</v>
      </c>
      <c r="AH209">
        <v>13</v>
      </c>
      <c r="AI209">
        <v>3</v>
      </c>
      <c r="AJ209">
        <v>2</v>
      </c>
      <c r="AK209">
        <v>80</v>
      </c>
      <c r="AL209">
        <v>1</v>
      </c>
      <c r="AM209">
        <v>12</v>
      </c>
      <c r="AN209">
        <v>3</v>
      </c>
      <c r="AO209">
        <v>10</v>
      </c>
      <c r="AP209">
        <v>9</v>
      </c>
      <c r="AQ209">
        <v>0</v>
      </c>
      <c r="AR209">
        <v>8</v>
      </c>
    </row>
    <row r="210" spans="1:44" x14ac:dyDescent="0.35">
      <c r="A210" t="s">
        <v>56</v>
      </c>
      <c r="B210" t="s">
        <v>91</v>
      </c>
      <c r="C210" t="s">
        <v>46</v>
      </c>
      <c r="D210" t="s">
        <v>59</v>
      </c>
      <c r="E210" t="s">
        <v>48</v>
      </c>
      <c r="F210" t="s">
        <v>113</v>
      </c>
      <c r="G210" t="s">
        <v>787</v>
      </c>
      <c r="H210">
        <v>983</v>
      </c>
      <c r="I210" t="s">
        <v>51</v>
      </c>
      <c r="J210" t="s">
        <v>52</v>
      </c>
      <c r="K210" t="s">
        <v>53</v>
      </c>
      <c r="L210" t="s">
        <v>44</v>
      </c>
      <c r="M210" t="s">
        <v>54</v>
      </c>
      <c r="N210">
        <v>1</v>
      </c>
      <c r="O210">
        <v>-2</v>
      </c>
      <c r="P210">
        <v>0</v>
      </c>
      <c r="Q210">
        <v>38</v>
      </c>
      <c r="R210">
        <v>0</v>
      </c>
      <c r="T210">
        <v>0</v>
      </c>
      <c r="U210">
        <v>1</v>
      </c>
      <c r="V210">
        <v>152</v>
      </c>
      <c r="W210">
        <v>10</v>
      </c>
      <c r="X210" t="s">
        <v>77</v>
      </c>
      <c r="Y210">
        <v>1</v>
      </c>
      <c r="Z210">
        <v>4</v>
      </c>
      <c r="AA210">
        <v>85</v>
      </c>
      <c r="AB210">
        <v>3</v>
      </c>
      <c r="AC210">
        <v>2</v>
      </c>
      <c r="AD210">
        <v>4</v>
      </c>
      <c r="AE210">
        <v>5666</v>
      </c>
      <c r="AF210">
        <v>19899</v>
      </c>
      <c r="AG210">
        <v>1</v>
      </c>
      <c r="AH210">
        <v>13</v>
      </c>
      <c r="AI210">
        <v>3</v>
      </c>
      <c r="AJ210">
        <v>2</v>
      </c>
      <c r="AK210">
        <v>80</v>
      </c>
      <c r="AL210">
        <v>0</v>
      </c>
      <c r="AM210">
        <v>6</v>
      </c>
      <c r="AN210">
        <v>3</v>
      </c>
      <c r="AO210">
        <v>5</v>
      </c>
      <c r="AP210">
        <v>3</v>
      </c>
      <c r="AQ210">
        <v>1</v>
      </c>
      <c r="AR210">
        <v>3</v>
      </c>
    </row>
    <row r="211" spans="1:44" x14ac:dyDescent="0.35">
      <c r="A211" t="s">
        <v>56</v>
      </c>
      <c r="B211" t="s">
        <v>45</v>
      </c>
      <c r="C211" t="s">
        <v>69</v>
      </c>
      <c r="D211" t="s">
        <v>59</v>
      </c>
      <c r="E211" t="s">
        <v>48</v>
      </c>
      <c r="F211" t="s">
        <v>66</v>
      </c>
      <c r="G211" t="s">
        <v>786</v>
      </c>
      <c r="H211">
        <v>982</v>
      </c>
      <c r="I211" t="s">
        <v>62</v>
      </c>
      <c r="J211" t="s">
        <v>52</v>
      </c>
      <c r="K211" t="s">
        <v>79</v>
      </c>
      <c r="L211" t="s">
        <v>56</v>
      </c>
      <c r="M211" t="s">
        <v>54</v>
      </c>
      <c r="N211">
        <v>2</v>
      </c>
      <c r="O211">
        <v>-2</v>
      </c>
      <c r="P211">
        <v>0</v>
      </c>
      <c r="Q211">
        <v>30</v>
      </c>
      <c r="R211">
        <v>0</v>
      </c>
      <c r="T211">
        <v>0</v>
      </c>
      <c r="U211">
        <v>1</v>
      </c>
      <c r="V211">
        <v>231</v>
      </c>
      <c r="W211">
        <v>8</v>
      </c>
      <c r="X211" t="s">
        <v>55</v>
      </c>
      <c r="Y211">
        <v>1</v>
      </c>
      <c r="Z211">
        <v>3</v>
      </c>
      <c r="AA211">
        <v>62</v>
      </c>
      <c r="AB211">
        <v>3</v>
      </c>
      <c r="AC211">
        <v>3</v>
      </c>
      <c r="AD211">
        <v>3</v>
      </c>
      <c r="AE211">
        <v>7264</v>
      </c>
      <c r="AF211">
        <v>9977</v>
      </c>
      <c r="AG211">
        <v>5</v>
      </c>
      <c r="AH211">
        <v>11</v>
      </c>
      <c r="AI211">
        <v>3</v>
      </c>
      <c r="AJ211">
        <v>1</v>
      </c>
      <c r="AK211">
        <v>80</v>
      </c>
      <c r="AL211">
        <v>1</v>
      </c>
      <c r="AM211">
        <v>10</v>
      </c>
      <c r="AN211">
        <v>4</v>
      </c>
      <c r="AO211">
        <v>8</v>
      </c>
      <c r="AP211">
        <v>4</v>
      </c>
      <c r="AQ211">
        <v>7</v>
      </c>
      <c r="AR211">
        <v>7</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45</v>
      </c>
      <c r="C213" t="s">
        <v>46</v>
      </c>
      <c r="D213" t="s">
        <v>59</v>
      </c>
      <c r="E213" t="s">
        <v>48</v>
      </c>
      <c r="F213" t="s">
        <v>72</v>
      </c>
      <c r="G213" t="s">
        <v>782</v>
      </c>
      <c r="H213">
        <v>975</v>
      </c>
      <c r="I213" t="s">
        <v>51</v>
      </c>
      <c r="J213" t="s">
        <v>52</v>
      </c>
      <c r="K213" t="s">
        <v>64</v>
      </c>
      <c r="L213" t="s">
        <v>56</v>
      </c>
      <c r="M213" t="s">
        <v>54</v>
      </c>
      <c r="N213">
        <v>3</v>
      </c>
      <c r="O213">
        <v>-2</v>
      </c>
      <c r="P213">
        <v>0</v>
      </c>
      <c r="Q213">
        <v>35</v>
      </c>
      <c r="R213">
        <v>0</v>
      </c>
      <c r="T213">
        <v>0</v>
      </c>
      <c r="U213">
        <v>1</v>
      </c>
      <c r="V213">
        <v>1219</v>
      </c>
      <c r="W213">
        <v>18</v>
      </c>
      <c r="X213" t="s">
        <v>77</v>
      </c>
      <c r="Y213">
        <v>1</v>
      </c>
      <c r="Z213">
        <v>3</v>
      </c>
      <c r="AA213">
        <v>86</v>
      </c>
      <c r="AB213">
        <v>3</v>
      </c>
      <c r="AC213">
        <v>2</v>
      </c>
      <c r="AD213">
        <v>3</v>
      </c>
      <c r="AE213">
        <v>4601</v>
      </c>
      <c r="AF213">
        <v>6179</v>
      </c>
      <c r="AG213">
        <v>1</v>
      </c>
      <c r="AH213">
        <v>16</v>
      </c>
      <c r="AI213">
        <v>3</v>
      </c>
      <c r="AJ213">
        <v>2</v>
      </c>
      <c r="AK213">
        <v>80</v>
      </c>
      <c r="AL213">
        <v>0</v>
      </c>
      <c r="AM213">
        <v>5</v>
      </c>
      <c r="AN213">
        <v>3</v>
      </c>
      <c r="AO213">
        <v>5</v>
      </c>
      <c r="AP213">
        <v>2</v>
      </c>
      <c r="AQ213">
        <v>1</v>
      </c>
      <c r="AR213">
        <v>0</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44</v>
      </c>
      <c r="B215" t="s">
        <v>45</v>
      </c>
      <c r="C215" t="s">
        <v>46</v>
      </c>
      <c r="D215" t="s">
        <v>47</v>
      </c>
      <c r="E215" t="s">
        <v>48</v>
      </c>
      <c r="F215" t="s">
        <v>49</v>
      </c>
      <c r="G215" t="s">
        <v>779</v>
      </c>
      <c r="H215">
        <v>970</v>
      </c>
      <c r="I215" t="s">
        <v>62</v>
      </c>
      <c r="J215" t="s">
        <v>52</v>
      </c>
      <c r="K215" t="s">
        <v>64</v>
      </c>
      <c r="L215" t="s">
        <v>56</v>
      </c>
      <c r="M215" t="s">
        <v>54</v>
      </c>
      <c r="N215">
        <v>2</v>
      </c>
      <c r="O215">
        <v>-2</v>
      </c>
      <c r="P215">
        <v>0</v>
      </c>
      <c r="Q215">
        <v>37</v>
      </c>
      <c r="R215">
        <v>1</v>
      </c>
      <c r="S215">
        <v>1</v>
      </c>
      <c r="T215">
        <v>1</v>
      </c>
      <c r="U215">
        <v>0</v>
      </c>
      <c r="V215">
        <v>625</v>
      </c>
      <c r="W215">
        <v>1</v>
      </c>
      <c r="X215" t="s">
        <v>71</v>
      </c>
      <c r="Y215">
        <v>1</v>
      </c>
      <c r="Z215">
        <v>1</v>
      </c>
      <c r="AA215">
        <v>46</v>
      </c>
      <c r="AB215">
        <v>2</v>
      </c>
      <c r="AC215">
        <v>3</v>
      </c>
      <c r="AD215">
        <v>1</v>
      </c>
      <c r="AE215">
        <v>10609</v>
      </c>
      <c r="AF215">
        <v>14922</v>
      </c>
      <c r="AG215">
        <v>5</v>
      </c>
      <c r="AH215">
        <v>11</v>
      </c>
      <c r="AI215">
        <v>3</v>
      </c>
      <c r="AJ215">
        <v>3</v>
      </c>
      <c r="AK215">
        <v>80</v>
      </c>
      <c r="AL215">
        <v>0</v>
      </c>
      <c r="AM215">
        <v>17</v>
      </c>
      <c r="AN215">
        <v>1</v>
      </c>
      <c r="AO215">
        <v>14</v>
      </c>
      <c r="AP215">
        <v>1</v>
      </c>
      <c r="AQ215">
        <v>11</v>
      </c>
      <c r="AR215">
        <v>7</v>
      </c>
    </row>
    <row r="216" spans="1:44" x14ac:dyDescent="0.35">
      <c r="A216" t="s">
        <v>44</v>
      </c>
      <c r="B216" t="s">
        <v>45</v>
      </c>
      <c r="C216" t="s">
        <v>46</v>
      </c>
      <c r="D216" t="s">
        <v>47</v>
      </c>
      <c r="E216" t="s">
        <v>48</v>
      </c>
      <c r="F216" t="s">
        <v>49</v>
      </c>
      <c r="G216" t="s">
        <v>777</v>
      </c>
      <c r="H216">
        <v>967</v>
      </c>
      <c r="I216" t="s">
        <v>62</v>
      </c>
      <c r="J216" t="s">
        <v>52</v>
      </c>
      <c r="K216" t="s">
        <v>64</v>
      </c>
      <c r="L216" t="s">
        <v>44</v>
      </c>
      <c r="M216" t="s">
        <v>54</v>
      </c>
      <c r="N216">
        <v>6</v>
      </c>
      <c r="O216">
        <v>-2</v>
      </c>
      <c r="P216">
        <v>0</v>
      </c>
      <c r="Q216">
        <v>36</v>
      </c>
      <c r="R216">
        <v>1</v>
      </c>
      <c r="S216">
        <v>1</v>
      </c>
      <c r="T216">
        <v>1</v>
      </c>
      <c r="U216">
        <v>0</v>
      </c>
      <c r="V216">
        <v>530</v>
      </c>
      <c r="W216">
        <v>3</v>
      </c>
      <c r="X216" t="s">
        <v>65</v>
      </c>
      <c r="Y216">
        <v>1</v>
      </c>
      <c r="Z216">
        <v>3</v>
      </c>
      <c r="AA216">
        <v>51</v>
      </c>
      <c r="AB216">
        <v>2</v>
      </c>
      <c r="AC216">
        <v>3</v>
      </c>
      <c r="AD216">
        <v>1</v>
      </c>
      <c r="AE216">
        <v>10325</v>
      </c>
      <c r="AF216">
        <v>5518</v>
      </c>
      <c r="AG216">
        <v>1</v>
      </c>
      <c r="AH216">
        <v>11</v>
      </c>
      <c r="AI216">
        <v>3</v>
      </c>
      <c r="AJ216">
        <v>1</v>
      </c>
      <c r="AK216">
        <v>80</v>
      </c>
      <c r="AL216">
        <v>1</v>
      </c>
      <c r="AM216">
        <v>16</v>
      </c>
      <c r="AN216">
        <v>3</v>
      </c>
      <c r="AO216">
        <v>16</v>
      </c>
      <c r="AP216">
        <v>7</v>
      </c>
      <c r="AQ216">
        <v>3</v>
      </c>
      <c r="AR216">
        <v>7</v>
      </c>
    </row>
    <row r="217" spans="1:44" x14ac:dyDescent="0.35">
      <c r="A217" t="s">
        <v>56</v>
      </c>
      <c r="B217" t="s">
        <v>57</v>
      </c>
      <c r="C217" t="s">
        <v>69</v>
      </c>
      <c r="D217" t="s">
        <v>59</v>
      </c>
      <c r="E217" t="s">
        <v>48</v>
      </c>
      <c r="F217" t="s">
        <v>72</v>
      </c>
      <c r="G217" t="s">
        <v>769</v>
      </c>
      <c r="H217">
        <v>956</v>
      </c>
      <c r="I217" t="s">
        <v>62</v>
      </c>
      <c r="J217" t="s">
        <v>52</v>
      </c>
      <c r="K217" t="s">
        <v>53</v>
      </c>
      <c r="L217" t="s">
        <v>56</v>
      </c>
      <c r="M217" t="s">
        <v>54</v>
      </c>
      <c r="N217">
        <v>2</v>
      </c>
      <c r="O217">
        <v>-2</v>
      </c>
      <c r="P217">
        <v>0</v>
      </c>
      <c r="Q217">
        <v>26</v>
      </c>
      <c r="R217">
        <v>0</v>
      </c>
      <c r="T217">
        <v>0</v>
      </c>
      <c r="U217">
        <v>1</v>
      </c>
      <c r="V217">
        <v>1283</v>
      </c>
      <c r="W217">
        <v>1</v>
      </c>
      <c r="X217" t="s">
        <v>77</v>
      </c>
      <c r="Y217">
        <v>1</v>
      </c>
      <c r="Z217">
        <v>3</v>
      </c>
      <c r="AA217">
        <v>52</v>
      </c>
      <c r="AB217">
        <v>2</v>
      </c>
      <c r="AC217">
        <v>2</v>
      </c>
      <c r="AD217">
        <v>3</v>
      </c>
      <c r="AE217">
        <v>4294</v>
      </c>
      <c r="AF217">
        <v>11148</v>
      </c>
      <c r="AG217">
        <v>1</v>
      </c>
      <c r="AH217">
        <v>12</v>
      </c>
      <c r="AI217">
        <v>3</v>
      </c>
      <c r="AJ217">
        <v>2</v>
      </c>
      <c r="AK217">
        <v>80</v>
      </c>
      <c r="AL217">
        <v>0</v>
      </c>
      <c r="AM217">
        <v>7</v>
      </c>
      <c r="AN217">
        <v>3</v>
      </c>
      <c r="AO217">
        <v>7</v>
      </c>
      <c r="AP217">
        <v>7</v>
      </c>
      <c r="AQ217">
        <v>0</v>
      </c>
      <c r="AR217">
        <v>7</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56</v>
      </c>
      <c r="B219" t="s">
        <v>45</v>
      </c>
      <c r="C219" t="s">
        <v>46</v>
      </c>
      <c r="D219" t="s">
        <v>59</v>
      </c>
      <c r="E219" t="s">
        <v>48</v>
      </c>
      <c r="F219" t="s">
        <v>106</v>
      </c>
      <c r="G219" t="s">
        <v>768</v>
      </c>
      <c r="H219">
        <v>954</v>
      </c>
      <c r="I219" t="s">
        <v>62</v>
      </c>
      <c r="J219" t="s">
        <v>52</v>
      </c>
      <c r="K219" t="s">
        <v>79</v>
      </c>
      <c r="L219" t="s">
        <v>56</v>
      </c>
      <c r="M219" t="s">
        <v>54</v>
      </c>
      <c r="N219">
        <v>2</v>
      </c>
      <c r="O219">
        <v>-2</v>
      </c>
      <c r="P219">
        <v>0</v>
      </c>
      <c r="Q219">
        <v>40</v>
      </c>
      <c r="R219">
        <v>0</v>
      </c>
      <c r="T219">
        <v>0</v>
      </c>
      <c r="U219">
        <v>1</v>
      </c>
      <c r="V219">
        <v>658</v>
      </c>
      <c r="W219">
        <v>10</v>
      </c>
      <c r="X219" t="s">
        <v>71</v>
      </c>
      <c r="Y219">
        <v>1</v>
      </c>
      <c r="Z219">
        <v>1</v>
      </c>
      <c r="AA219">
        <v>67</v>
      </c>
      <c r="AB219">
        <v>2</v>
      </c>
      <c r="AC219">
        <v>3</v>
      </c>
      <c r="AD219">
        <v>2</v>
      </c>
      <c r="AE219">
        <v>9705</v>
      </c>
      <c r="AF219">
        <v>20652</v>
      </c>
      <c r="AG219">
        <v>2</v>
      </c>
      <c r="AH219">
        <v>12</v>
      </c>
      <c r="AI219">
        <v>3</v>
      </c>
      <c r="AJ219">
        <v>2</v>
      </c>
      <c r="AK219">
        <v>80</v>
      </c>
      <c r="AL219">
        <v>1</v>
      </c>
      <c r="AM219">
        <v>11</v>
      </c>
      <c r="AN219">
        <v>2</v>
      </c>
      <c r="AO219">
        <v>1</v>
      </c>
      <c r="AP219">
        <v>0</v>
      </c>
      <c r="AQ219">
        <v>0</v>
      </c>
      <c r="AR219">
        <v>0</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91</v>
      </c>
      <c r="C222" t="s">
        <v>69</v>
      </c>
      <c r="D222" t="s">
        <v>59</v>
      </c>
      <c r="E222" t="s">
        <v>48</v>
      </c>
      <c r="F222" t="s">
        <v>106</v>
      </c>
      <c r="G222" t="s">
        <v>763</v>
      </c>
      <c r="H222">
        <v>947</v>
      </c>
      <c r="I222" t="s">
        <v>51</v>
      </c>
      <c r="J222" t="s">
        <v>52</v>
      </c>
      <c r="K222" t="s">
        <v>64</v>
      </c>
      <c r="L222" t="s">
        <v>56</v>
      </c>
      <c r="M222" t="s">
        <v>54</v>
      </c>
      <c r="N222">
        <v>2</v>
      </c>
      <c r="O222">
        <v>-2</v>
      </c>
      <c r="P222">
        <v>0</v>
      </c>
      <c r="Q222">
        <v>31</v>
      </c>
      <c r="R222">
        <v>0</v>
      </c>
      <c r="T222">
        <v>0</v>
      </c>
      <c r="U222">
        <v>1</v>
      </c>
      <c r="V222">
        <v>1188</v>
      </c>
      <c r="W222">
        <v>20</v>
      </c>
      <c r="X222" t="s">
        <v>55</v>
      </c>
      <c r="Y222">
        <v>1</v>
      </c>
      <c r="Z222">
        <v>4</v>
      </c>
      <c r="AA222">
        <v>45</v>
      </c>
      <c r="AB222">
        <v>3</v>
      </c>
      <c r="AC222">
        <v>2</v>
      </c>
      <c r="AD222">
        <v>2</v>
      </c>
      <c r="AE222">
        <v>6932</v>
      </c>
      <c r="AF222">
        <v>24406</v>
      </c>
      <c r="AG222">
        <v>1</v>
      </c>
      <c r="AH222">
        <v>13</v>
      </c>
      <c r="AI222">
        <v>3</v>
      </c>
      <c r="AJ222">
        <v>4</v>
      </c>
      <c r="AK222">
        <v>80</v>
      </c>
      <c r="AL222">
        <v>1</v>
      </c>
      <c r="AM222">
        <v>9</v>
      </c>
      <c r="AN222">
        <v>2</v>
      </c>
      <c r="AO222">
        <v>9</v>
      </c>
      <c r="AP222">
        <v>8</v>
      </c>
      <c r="AQ222">
        <v>0</v>
      </c>
      <c r="AR222">
        <v>0</v>
      </c>
    </row>
    <row r="223" spans="1:44" x14ac:dyDescent="0.35">
      <c r="A223" t="s">
        <v>56</v>
      </c>
      <c r="B223" t="s">
        <v>45</v>
      </c>
      <c r="C223" t="s">
        <v>46</v>
      </c>
      <c r="D223" t="s">
        <v>59</v>
      </c>
      <c r="E223" t="s">
        <v>48</v>
      </c>
      <c r="F223" t="s">
        <v>72</v>
      </c>
      <c r="G223" t="s">
        <v>756</v>
      </c>
      <c r="H223">
        <v>936</v>
      </c>
      <c r="I223" t="s">
        <v>51</v>
      </c>
      <c r="J223" t="s">
        <v>52</v>
      </c>
      <c r="K223" t="s">
        <v>53</v>
      </c>
      <c r="L223" t="s">
        <v>56</v>
      </c>
      <c r="M223" t="s">
        <v>54</v>
      </c>
      <c r="N223">
        <v>6</v>
      </c>
      <c r="O223">
        <v>-2</v>
      </c>
      <c r="P223">
        <v>0</v>
      </c>
      <c r="Q223">
        <v>42</v>
      </c>
      <c r="R223">
        <v>0</v>
      </c>
      <c r="T223">
        <v>0</v>
      </c>
      <c r="U223">
        <v>1</v>
      </c>
      <c r="V223">
        <v>462</v>
      </c>
      <c r="W223">
        <v>14</v>
      </c>
      <c r="X223" t="s">
        <v>55</v>
      </c>
      <c r="Y223">
        <v>1</v>
      </c>
      <c r="Z223">
        <v>3</v>
      </c>
      <c r="AA223">
        <v>68</v>
      </c>
      <c r="AB223">
        <v>2</v>
      </c>
      <c r="AC223">
        <v>2</v>
      </c>
      <c r="AD223">
        <v>3</v>
      </c>
      <c r="AE223">
        <v>6244</v>
      </c>
      <c r="AF223">
        <v>7824</v>
      </c>
      <c r="AG223">
        <v>7</v>
      </c>
      <c r="AH223">
        <v>17</v>
      </c>
      <c r="AI223">
        <v>3</v>
      </c>
      <c r="AJ223">
        <v>1</v>
      </c>
      <c r="AK223">
        <v>80</v>
      </c>
      <c r="AL223">
        <v>0</v>
      </c>
      <c r="AM223">
        <v>10</v>
      </c>
      <c r="AN223">
        <v>3</v>
      </c>
      <c r="AO223">
        <v>5</v>
      </c>
      <c r="AP223">
        <v>4</v>
      </c>
      <c r="AQ223">
        <v>0</v>
      </c>
      <c r="AR223">
        <v>3</v>
      </c>
    </row>
    <row r="224" spans="1:44" x14ac:dyDescent="0.35">
      <c r="A224" t="s">
        <v>56</v>
      </c>
      <c r="B224" t="s">
        <v>45</v>
      </c>
      <c r="C224" t="s">
        <v>69</v>
      </c>
      <c r="D224" t="s">
        <v>59</v>
      </c>
      <c r="E224" t="s">
        <v>48</v>
      </c>
      <c r="F224" t="s">
        <v>72</v>
      </c>
      <c r="G224" t="s">
        <v>743</v>
      </c>
      <c r="H224">
        <v>916</v>
      </c>
      <c r="I224" t="s">
        <v>62</v>
      </c>
      <c r="J224" t="s">
        <v>52</v>
      </c>
      <c r="K224" t="s">
        <v>53</v>
      </c>
      <c r="L224" t="s">
        <v>56</v>
      </c>
      <c r="M224" t="s">
        <v>54</v>
      </c>
      <c r="N224">
        <v>3</v>
      </c>
      <c r="O224">
        <v>-2</v>
      </c>
      <c r="P224">
        <v>0</v>
      </c>
      <c r="Q224">
        <v>28</v>
      </c>
      <c r="R224">
        <v>0</v>
      </c>
      <c r="T224">
        <v>0</v>
      </c>
      <c r="U224">
        <v>1</v>
      </c>
      <c r="V224">
        <v>821</v>
      </c>
      <c r="W224">
        <v>5</v>
      </c>
      <c r="X224" t="s">
        <v>71</v>
      </c>
      <c r="Y224">
        <v>1</v>
      </c>
      <c r="Z224">
        <v>1</v>
      </c>
      <c r="AA224">
        <v>98</v>
      </c>
      <c r="AB224">
        <v>3</v>
      </c>
      <c r="AC224">
        <v>2</v>
      </c>
      <c r="AD224">
        <v>4</v>
      </c>
      <c r="AE224">
        <v>4908</v>
      </c>
      <c r="AF224">
        <v>24252</v>
      </c>
      <c r="AG224">
        <v>1</v>
      </c>
      <c r="AH224">
        <v>14</v>
      </c>
      <c r="AI224">
        <v>3</v>
      </c>
      <c r="AJ224">
        <v>2</v>
      </c>
      <c r="AK224">
        <v>80</v>
      </c>
      <c r="AL224">
        <v>0</v>
      </c>
      <c r="AM224">
        <v>4</v>
      </c>
      <c r="AN224">
        <v>3</v>
      </c>
      <c r="AO224">
        <v>4</v>
      </c>
      <c r="AP224">
        <v>2</v>
      </c>
      <c r="AQ224">
        <v>0</v>
      </c>
      <c r="AR224">
        <v>2</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46</v>
      </c>
      <c r="D226" t="s">
        <v>59</v>
      </c>
      <c r="E226" t="s">
        <v>48</v>
      </c>
      <c r="F226" t="s">
        <v>72</v>
      </c>
      <c r="G226" t="s">
        <v>736</v>
      </c>
      <c r="H226">
        <v>904</v>
      </c>
      <c r="I226" t="s">
        <v>62</v>
      </c>
      <c r="J226" t="s">
        <v>52</v>
      </c>
      <c r="K226" t="s">
        <v>53</v>
      </c>
      <c r="L226" t="s">
        <v>44</v>
      </c>
      <c r="M226" t="s">
        <v>54</v>
      </c>
      <c r="N226">
        <v>2</v>
      </c>
      <c r="O226">
        <v>-2</v>
      </c>
      <c r="P226">
        <v>0</v>
      </c>
      <c r="Q226">
        <v>37</v>
      </c>
      <c r="R226">
        <v>0</v>
      </c>
      <c r="T226">
        <v>0</v>
      </c>
      <c r="U226">
        <v>1</v>
      </c>
      <c r="V226">
        <v>1252</v>
      </c>
      <c r="W226">
        <v>19</v>
      </c>
      <c r="X226" t="s">
        <v>55</v>
      </c>
      <c r="Y226">
        <v>1</v>
      </c>
      <c r="Z226">
        <v>1</v>
      </c>
      <c r="AA226">
        <v>32</v>
      </c>
      <c r="AB226">
        <v>3</v>
      </c>
      <c r="AC226">
        <v>3</v>
      </c>
      <c r="AD226">
        <v>3</v>
      </c>
      <c r="AE226">
        <v>7642</v>
      </c>
      <c r="AF226">
        <v>4814</v>
      </c>
      <c r="AG226">
        <v>1</v>
      </c>
      <c r="AH226">
        <v>13</v>
      </c>
      <c r="AI226">
        <v>3</v>
      </c>
      <c r="AJ226">
        <v>4</v>
      </c>
      <c r="AK226">
        <v>80</v>
      </c>
      <c r="AL226">
        <v>0</v>
      </c>
      <c r="AM226">
        <v>10</v>
      </c>
      <c r="AN226">
        <v>3</v>
      </c>
      <c r="AO226">
        <v>10</v>
      </c>
      <c r="AP226">
        <v>0</v>
      </c>
      <c r="AQ226">
        <v>0</v>
      </c>
      <c r="AR226">
        <v>9</v>
      </c>
    </row>
    <row r="227" spans="1:44" x14ac:dyDescent="0.35">
      <c r="A227" t="s">
        <v>56</v>
      </c>
      <c r="B227" t="s">
        <v>45</v>
      </c>
      <c r="C227" t="s">
        <v>58</v>
      </c>
      <c r="D227" t="s">
        <v>59</v>
      </c>
      <c r="E227" t="s">
        <v>48</v>
      </c>
      <c r="F227" t="s">
        <v>106</v>
      </c>
      <c r="G227" t="s">
        <v>735</v>
      </c>
      <c r="H227">
        <v>903</v>
      </c>
      <c r="I227" t="s">
        <v>51</v>
      </c>
      <c r="J227" t="s">
        <v>52</v>
      </c>
      <c r="K227" t="s">
        <v>64</v>
      </c>
      <c r="L227" t="s">
        <v>44</v>
      </c>
      <c r="M227" t="s">
        <v>54</v>
      </c>
      <c r="N227">
        <v>2</v>
      </c>
      <c r="O227">
        <v>-2</v>
      </c>
      <c r="P227">
        <v>0</v>
      </c>
      <c r="Q227">
        <v>47</v>
      </c>
      <c r="R227">
        <v>0</v>
      </c>
      <c r="T227">
        <v>0</v>
      </c>
      <c r="U227">
        <v>1</v>
      </c>
      <c r="V227">
        <v>249</v>
      </c>
      <c r="W227">
        <v>2</v>
      </c>
      <c r="X227" t="s">
        <v>55</v>
      </c>
      <c r="Y227">
        <v>1</v>
      </c>
      <c r="Z227">
        <v>3</v>
      </c>
      <c r="AA227">
        <v>35</v>
      </c>
      <c r="AB227">
        <v>3</v>
      </c>
      <c r="AC227">
        <v>2</v>
      </c>
      <c r="AD227">
        <v>2</v>
      </c>
      <c r="AE227">
        <v>4537</v>
      </c>
      <c r="AF227">
        <v>17783</v>
      </c>
      <c r="AG227">
        <v>0</v>
      </c>
      <c r="AH227">
        <v>22</v>
      </c>
      <c r="AI227">
        <v>4</v>
      </c>
      <c r="AJ227">
        <v>1</v>
      </c>
      <c r="AK227">
        <v>80</v>
      </c>
      <c r="AL227">
        <v>1</v>
      </c>
      <c r="AM227">
        <v>8</v>
      </c>
      <c r="AN227">
        <v>3</v>
      </c>
      <c r="AO227">
        <v>7</v>
      </c>
      <c r="AP227">
        <v>6</v>
      </c>
      <c r="AQ227">
        <v>7</v>
      </c>
      <c r="AR227">
        <v>7</v>
      </c>
    </row>
    <row r="228" spans="1:44" x14ac:dyDescent="0.35">
      <c r="A228" t="s">
        <v>56</v>
      </c>
      <c r="B228" t="s">
        <v>45</v>
      </c>
      <c r="C228" t="s">
        <v>58</v>
      </c>
      <c r="D228" t="s">
        <v>59</v>
      </c>
      <c r="E228" t="s">
        <v>48</v>
      </c>
      <c r="F228" t="s">
        <v>106</v>
      </c>
      <c r="G228" t="s">
        <v>730</v>
      </c>
      <c r="H228">
        <v>897</v>
      </c>
      <c r="I228" t="s">
        <v>62</v>
      </c>
      <c r="J228" t="s">
        <v>52</v>
      </c>
      <c r="K228" t="s">
        <v>64</v>
      </c>
      <c r="L228" t="s">
        <v>56</v>
      </c>
      <c r="M228" t="s">
        <v>54</v>
      </c>
      <c r="N228">
        <v>3</v>
      </c>
      <c r="O228">
        <v>-2</v>
      </c>
      <c r="P228">
        <v>0</v>
      </c>
      <c r="Q228">
        <v>53</v>
      </c>
      <c r="R228">
        <v>0</v>
      </c>
      <c r="T228">
        <v>0</v>
      </c>
      <c r="U228">
        <v>1</v>
      </c>
      <c r="V228">
        <v>868</v>
      </c>
      <c r="W228">
        <v>8</v>
      </c>
      <c r="X228" t="s">
        <v>77</v>
      </c>
      <c r="Y228">
        <v>1</v>
      </c>
      <c r="Z228">
        <v>1</v>
      </c>
      <c r="AA228">
        <v>73</v>
      </c>
      <c r="AB228">
        <v>3</v>
      </c>
      <c r="AC228">
        <v>4</v>
      </c>
      <c r="AD228">
        <v>2</v>
      </c>
      <c r="AE228">
        <v>11836</v>
      </c>
      <c r="AF228">
        <v>22789</v>
      </c>
      <c r="AG228">
        <v>5</v>
      </c>
      <c r="AH228">
        <v>14</v>
      </c>
      <c r="AI228">
        <v>3</v>
      </c>
      <c r="AJ228">
        <v>3</v>
      </c>
      <c r="AK228">
        <v>80</v>
      </c>
      <c r="AL228">
        <v>1</v>
      </c>
      <c r="AM228">
        <v>28</v>
      </c>
      <c r="AN228">
        <v>3</v>
      </c>
      <c r="AO228">
        <v>2</v>
      </c>
      <c r="AP228">
        <v>0</v>
      </c>
      <c r="AQ228">
        <v>2</v>
      </c>
      <c r="AR228">
        <v>2</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56</v>
      </c>
      <c r="B231" t="s">
        <v>57</v>
      </c>
      <c r="C231" t="s">
        <v>69</v>
      </c>
      <c r="D231" t="s">
        <v>59</v>
      </c>
      <c r="E231" t="s">
        <v>48</v>
      </c>
      <c r="F231" t="s">
        <v>49</v>
      </c>
      <c r="G231" t="s">
        <v>725</v>
      </c>
      <c r="H231">
        <v>889</v>
      </c>
      <c r="I231" t="s">
        <v>62</v>
      </c>
      <c r="J231" t="s">
        <v>52</v>
      </c>
      <c r="K231" t="s">
        <v>64</v>
      </c>
      <c r="L231" t="s">
        <v>56</v>
      </c>
      <c r="M231" t="s">
        <v>54</v>
      </c>
      <c r="N231">
        <v>3</v>
      </c>
      <c r="O231">
        <v>-2</v>
      </c>
      <c r="P231">
        <v>0</v>
      </c>
      <c r="Q231">
        <v>32</v>
      </c>
      <c r="R231">
        <v>0</v>
      </c>
      <c r="T231">
        <v>0</v>
      </c>
      <c r="U231">
        <v>1</v>
      </c>
      <c r="V231">
        <v>379</v>
      </c>
      <c r="W231">
        <v>5</v>
      </c>
      <c r="X231" t="s">
        <v>55</v>
      </c>
      <c r="Y231">
        <v>1</v>
      </c>
      <c r="Z231">
        <v>2</v>
      </c>
      <c r="AA231">
        <v>48</v>
      </c>
      <c r="AB231">
        <v>3</v>
      </c>
      <c r="AC231">
        <v>2</v>
      </c>
      <c r="AD231">
        <v>1</v>
      </c>
      <c r="AE231">
        <v>6524</v>
      </c>
      <c r="AF231">
        <v>8891</v>
      </c>
      <c r="AG231">
        <v>1</v>
      </c>
      <c r="AH231">
        <v>14</v>
      </c>
      <c r="AI231">
        <v>3</v>
      </c>
      <c r="AJ231">
        <v>4</v>
      </c>
      <c r="AK231">
        <v>80</v>
      </c>
      <c r="AL231">
        <v>1</v>
      </c>
      <c r="AM231">
        <v>10</v>
      </c>
      <c r="AN231">
        <v>3</v>
      </c>
      <c r="AO231">
        <v>10</v>
      </c>
      <c r="AP231">
        <v>8</v>
      </c>
      <c r="AQ231">
        <v>5</v>
      </c>
      <c r="AR231">
        <v>3</v>
      </c>
    </row>
    <row r="232" spans="1:44" x14ac:dyDescent="0.35">
      <c r="A232" t="s">
        <v>56</v>
      </c>
      <c r="B232" t="s">
        <v>45</v>
      </c>
      <c r="C232" t="s">
        <v>69</v>
      </c>
      <c r="D232" t="s">
        <v>59</v>
      </c>
      <c r="E232" t="s">
        <v>48</v>
      </c>
      <c r="F232" t="s">
        <v>106</v>
      </c>
      <c r="G232" t="s">
        <v>722</v>
      </c>
      <c r="H232">
        <v>885</v>
      </c>
      <c r="I232" t="s">
        <v>62</v>
      </c>
      <c r="J232" t="s">
        <v>52</v>
      </c>
      <c r="K232" t="s">
        <v>64</v>
      </c>
      <c r="L232" t="s">
        <v>56</v>
      </c>
      <c r="M232" t="s">
        <v>54</v>
      </c>
      <c r="N232">
        <v>1</v>
      </c>
      <c r="O232">
        <v>-2</v>
      </c>
      <c r="P232">
        <v>0</v>
      </c>
      <c r="Q232">
        <v>25</v>
      </c>
      <c r="R232">
        <v>0</v>
      </c>
      <c r="T232">
        <v>0</v>
      </c>
      <c r="U232">
        <v>1</v>
      </c>
      <c r="V232">
        <v>583</v>
      </c>
      <c r="W232">
        <v>4</v>
      </c>
      <c r="X232" t="s">
        <v>65</v>
      </c>
      <c r="Y232">
        <v>1</v>
      </c>
      <c r="Z232">
        <v>3</v>
      </c>
      <c r="AA232">
        <v>87</v>
      </c>
      <c r="AB232">
        <v>2</v>
      </c>
      <c r="AC232">
        <v>2</v>
      </c>
      <c r="AD232">
        <v>2</v>
      </c>
      <c r="AE232">
        <v>4256</v>
      </c>
      <c r="AF232">
        <v>18154</v>
      </c>
      <c r="AG232">
        <v>1</v>
      </c>
      <c r="AH232">
        <v>12</v>
      </c>
      <c r="AI232">
        <v>3</v>
      </c>
      <c r="AJ232">
        <v>1</v>
      </c>
      <c r="AK232">
        <v>80</v>
      </c>
      <c r="AL232">
        <v>0</v>
      </c>
      <c r="AM232">
        <v>5</v>
      </c>
      <c r="AN232">
        <v>4</v>
      </c>
      <c r="AO232">
        <v>5</v>
      </c>
      <c r="AP232">
        <v>2</v>
      </c>
      <c r="AQ232">
        <v>0</v>
      </c>
      <c r="AR232">
        <v>3</v>
      </c>
    </row>
    <row r="233" spans="1:44" x14ac:dyDescent="0.35">
      <c r="A233" t="s">
        <v>56</v>
      </c>
      <c r="B233" t="s">
        <v>45</v>
      </c>
      <c r="C233" t="s">
        <v>69</v>
      </c>
      <c r="D233" t="s">
        <v>59</v>
      </c>
      <c r="E233" t="s">
        <v>48</v>
      </c>
      <c r="F233" t="s">
        <v>66</v>
      </c>
      <c r="G233" t="s">
        <v>718</v>
      </c>
      <c r="H233">
        <v>879</v>
      </c>
      <c r="I233" t="s">
        <v>62</v>
      </c>
      <c r="J233" t="s">
        <v>52</v>
      </c>
      <c r="K233" t="s">
        <v>64</v>
      </c>
      <c r="L233" t="s">
        <v>44</v>
      </c>
      <c r="M233" t="s">
        <v>54</v>
      </c>
      <c r="N233">
        <v>3</v>
      </c>
      <c r="O233">
        <v>-2</v>
      </c>
      <c r="P233">
        <v>0</v>
      </c>
      <c r="Q233">
        <v>25</v>
      </c>
      <c r="R233">
        <v>0</v>
      </c>
      <c r="T233">
        <v>0</v>
      </c>
      <c r="U233">
        <v>1</v>
      </c>
      <c r="V233">
        <v>141</v>
      </c>
      <c r="W233">
        <v>3</v>
      </c>
      <c r="X233" t="s">
        <v>65</v>
      </c>
      <c r="Y233">
        <v>1</v>
      </c>
      <c r="Z233">
        <v>3</v>
      </c>
      <c r="AA233">
        <v>98</v>
      </c>
      <c r="AB233">
        <v>3</v>
      </c>
      <c r="AC233">
        <v>2</v>
      </c>
      <c r="AD233">
        <v>3</v>
      </c>
      <c r="AE233">
        <v>4194</v>
      </c>
      <c r="AF233">
        <v>14363</v>
      </c>
      <c r="AG233">
        <v>1</v>
      </c>
      <c r="AH233">
        <v>18</v>
      </c>
      <c r="AI233">
        <v>3</v>
      </c>
      <c r="AJ233">
        <v>4</v>
      </c>
      <c r="AK233">
        <v>80</v>
      </c>
      <c r="AL233">
        <v>0</v>
      </c>
      <c r="AM233">
        <v>5</v>
      </c>
      <c r="AN233">
        <v>3</v>
      </c>
      <c r="AO233">
        <v>5</v>
      </c>
      <c r="AP233">
        <v>3</v>
      </c>
      <c r="AQ233">
        <v>0</v>
      </c>
      <c r="AR233">
        <v>3</v>
      </c>
    </row>
    <row r="234" spans="1:44" x14ac:dyDescent="0.35">
      <c r="A234" t="s">
        <v>56</v>
      </c>
      <c r="B234" t="s">
        <v>45</v>
      </c>
      <c r="C234" t="s">
        <v>46</v>
      </c>
      <c r="D234" t="s">
        <v>59</v>
      </c>
      <c r="E234" t="s">
        <v>48</v>
      </c>
      <c r="F234" t="s">
        <v>106</v>
      </c>
      <c r="G234" t="s">
        <v>712</v>
      </c>
      <c r="H234">
        <v>868</v>
      </c>
      <c r="I234" t="s">
        <v>62</v>
      </c>
      <c r="J234" t="s">
        <v>52</v>
      </c>
      <c r="K234" t="s">
        <v>79</v>
      </c>
      <c r="L234" t="s">
        <v>56</v>
      </c>
      <c r="M234" t="s">
        <v>54</v>
      </c>
      <c r="N234">
        <v>2</v>
      </c>
      <c r="O234">
        <v>-2</v>
      </c>
      <c r="P234">
        <v>0</v>
      </c>
      <c r="Q234">
        <v>37</v>
      </c>
      <c r="R234">
        <v>0</v>
      </c>
      <c r="T234">
        <v>0</v>
      </c>
      <c r="U234">
        <v>1</v>
      </c>
      <c r="V234">
        <v>342</v>
      </c>
      <c r="W234">
        <v>16</v>
      </c>
      <c r="X234" t="s">
        <v>71</v>
      </c>
      <c r="Y234">
        <v>1</v>
      </c>
      <c r="Z234">
        <v>4</v>
      </c>
      <c r="AA234">
        <v>66</v>
      </c>
      <c r="AB234">
        <v>2</v>
      </c>
      <c r="AC234">
        <v>2</v>
      </c>
      <c r="AD234">
        <v>2</v>
      </c>
      <c r="AE234">
        <v>6334</v>
      </c>
      <c r="AF234">
        <v>24558</v>
      </c>
      <c r="AG234">
        <v>4</v>
      </c>
      <c r="AH234">
        <v>19</v>
      </c>
      <c r="AI234">
        <v>3</v>
      </c>
      <c r="AJ234">
        <v>4</v>
      </c>
      <c r="AK234">
        <v>80</v>
      </c>
      <c r="AL234">
        <v>2</v>
      </c>
      <c r="AM234">
        <v>9</v>
      </c>
      <c r="AN234">
        <v>3</v>
      </c>
      <c r="AO234">
        <v>1</v>
      </c>
      <c r="AP234">
        <v>0</v>
      </c>
      <c r="AQ234">
        <v>0</v>
      </c>
      <c r="AR234">
        <v>0</v>
      </c>
    </row>
    <row r="235" spans="1:44" x14ac:dyDescent="0.35">
      <c r="A235" t="s">
        <v>56</v>
      </c>
      <c r="B235" t="s">
        <v>45</v>
      </c>
      <c r="C235" t="s">
        <v>58</v>
      </c>
      <c r="D235" t="s">
        <v>59</v>
      </c>
      <c r="E235" t="s">
        <v>48</v>
      </c>
      <c r="F235" t="s">
        <v>106</v>
      </c>
      <c r="G235" t="s">
        <v>709</v>
      </c>
      <c r="H235">
        <v>864</v>
      </c>
      <c r="I235" t="s">
        <v>62</v>
      </c>
      <c r="J235" t="s">
        <v>52</v>
      </c>
      <c r="K235" t="s">
        <v>79</v>
      </c>
      <c r="L235" t="s">
        <v>44</v>
      </c>
      <c r="M235" t="s">
        <v>54</v>
      </c>
      <c r="N235">
        <v>2</v>
      </c>
      <c r="O235">
        <v>-2</v>
      </c>
      <c r="P235">
        <v>0</v>
      </c>
      <c r="Q235">
        <v>45</v>
      </c>
      <c r="R235">
        <v>0</v>
      </c>
      <c r="T235">
        <v>0</v>
      </c>
      <c r="U235">
        <v>1</v>
      </c>
      <c r="V235">
        <v>930</v>
      </c>
      <c r="W235">
        <v>9</v>
      </c>
      <c r="X235" t="s">
        <v>77</v>
      </c>
      <c r="Y235">
        <v>1</v>
      </c>
      <c r="Z235">
        <v>4</v>
      </c>
      <c r="AA235">
        <v>74</v>
      </c>
      <c r="AB235">
        <v>3</v>
      </c>
      <c r="AC235">
        <v>3</v>
      </c>
      <c r="AD235">
        <v>2</v>
      </c>
      <c r="AE235">
        <v>10761</v>
      </c>
      <c r="AF235">
        <v>19239</v>
      </c>
      <c r="AG235">
        <v>4</v>
      </c>
      <c r="AH235">
        <v>12</v>
      </c>
      <c r="AI235">
        <v>3</v>
      </c>
      <c r="AJ235">
        <v>3</v>
      </c>
      <c r="AK235">
        <v>80</v>
      </c>
      <c r="AL235">
        <v>1</v>
      </c>
      <c r="AM235">
        <v>18</v>
      </c>
      <c r="AN235">
        <v>3</v>
      </c>
      <c r="AO235">
        <v>5</v>
      </c>
      <c r="AP235">
        <v>4</v>
      </c>
      <c r="AQ235">
        <v>0</v>
      </c>
      <c r="AR235">
        <v>2</v>
      </c>
    </row>
    <row r="236" spans="1:44" x14ac:dyDescent="0.35">
      <c r="A236" t="s">
        <v>56</v>
      </c>
      <c r="B236" t="s">
        <v>45</v>
      </c>
      <c r="C236" t="s">
        <v>58</v>
      </c>
      <c r="D236" t="s">
        <v>59</v>
      </c>
      <c r="E236" t="s">
        <v>48</v>
      </c>
      <c r="F236" t="s">
        <v>106</v>
      </c>
      <c r="G236" t="s">
        <v>708</v>
      </c>
      <c r="H236">
        <v>862</v>
      </c>
      <c r="I236" t="s">
        <v>51</v>
      </c>
      <c r="J236" t="s">
        <v>52</v>
      </c>
      <c r="K236" t="s">
        <v>64</v>
      </c>
      <c r="L236" t="s">
        <v>44</v>
      </c>
      <c r="M236" t="s">
        <v>54</v>
      </c>
      <c r="N236">
        <v>3</v>
      </c>
      <c r="O236">
        <v>-2</v>
      </c>
      <c r="P236">
        <v>0</v>
      </c>
      <c r="Q236">
        <v>53</v>
      </c>
      <c r="R236">
        <v>0</v>
      </c>
      <c r="T236">
        <v>0</v>
      </c>
      <c r="U236">
        <v>1</v>
      </c>
      <c r="V236">
        <v>661</v>
      </c>
      <c r="W236">
        <v>7</v>
      </c>
      <c r="X236" t="s">
        <v>55</v>
      </c>
      <c r="Y236">
        <v>1</v>
      </c>
      <c r="Z236">
        <v>1</v>
      </c>
      <c r="AA236">
        <v>78</v>
      </c>
      <c r="AB236">
        <v>2</v>
      </c>
      <c r="AC236">
        <v>3</v>
      </c>
      <c r="AD236">
        <v>2</v>
      </c>
      <c r="AE236">
        <v>10934</v>
      </c>
      <c r="AF236">
        <v>20715</v>
      </c>
      <c r="AG236">
        <v>7</v>
      </c>
      <c r="AH236">
        <v>18</v>
      </c>
      <c r="AI236">
        <v>3</v>
      </c>
      <c r="AJ236">
        <v>4</v>
      </c>
      <c r="AK236">
        <v>80</v>
      </c>
      <c r="AL236">
        <v>1</v>
      </c>
      <c r="AM236">
        <v>35</v>
      </c>
      <c r="AN236">
        <v>3</v>
      </c>
      <c r="AO236">
        <v>5</v>
      </c>
      <c r="AP236">
        <v>2</v>
      </c>
      <c r="AQ236">
        <v>0</v>
      </c>
      <c r="AR236">
        <v>4</v>
      </c>
    </row>
    <row r="237" spans="1:44" x14ac:dyDescent="0.35">
      <c r="A237" t="s">
        <v>56</v>
      </c>
      <c r="B237" t="s">
        <v>45</v>
      </c>
      <c r="C237" t="s">
        <v>69</v>
      </c>
      <c r="D237" t="s">
        <v>59</v>
      </c>
      <c r="E237" t="s">
        <v>48</v>
      </c>
      <c r="F237" t="s">
        <v>49</v>
      </c>
      <c r="G237" t="s">
        <v>706</v>
      </c>
      <c r="H237">
        <v>859</v>
      </c>
      <c r="I237" t="s">
        <v>62</v>
      </c>
      <c r="J237" t="s">
        <v>52</v>
      </c>
      <c r="K237" t="s">
        <v>79</v>
      </c>
      <c r="L237" t="s">
        <v>56</v>
      </c>
      <c r="M237" t="s">
        <v>54</v>
      </c>
      <c r="N237">
        <v>3</v>
      </c>
      <c r="O237">
        <v>-2</v>
      </c>
      <c r="P237">
        <v>0</v>
      </c>
      <c r="Q237">
        <v>32</v>
      </c>
      <c r="R237">
        <v>0</v>
      </c>
      <c r="T237">
        <v>0</v>
      </c>
      <c r="U237">
        <v>1</v>
      </c>
      <c r="V237">
        <v>117</v>
      </c>
      <c r="W237">
        <v>13</v>
      </c>
      <c r="X237" t="s">
        <v>71</v>
      </c>
      <c r="Y237">
        <v>1</v>
      </c>
      <c r="Z237">
        <v>2</v>
      </c>
      <c r="AA237">
        <v>73</v>
      </c>
      <c r="AB237">
        <v>3</v>
      </c>
      <c r="AC237">
        <v>2</v>
      </c>
      <c r="AD237">
        <v>1</v>
      </c>
      <c r="AE237">
        <v>4403</v>
      </c>
      <c r="AF237">
        <v>9250</v>
      </c>
      <c r="AG237">
        <v>2</v>
      </c>
      <c r="AH237">
        <v>11</v>
      </c>
      <c r="AI237">
        <v>3</v>
      </c>
      <c r="AJ237">
        <v>3</v>
      </c>
      <c r="AK237">
        <v>80</v>
      </c>
      <c r="AL237">
        <v>1</v>
      </c>
      <c r="AM237">
        <v>8</v>
      </c>
      <c r="AN237">
        <v>2</v>
      </c>
      <c r="AO237">
        <v>5</v>
      </c>
      <c r="AP237">
        <v>2</v>
      </c>
      <c r="AQ237">
        <v>0</v>
      </c>
      <c r="AR237">
        <v>3</v>
      </c>
    </row>
    <row r="238" spans="1:44" x14ac:dyDescent="0.35">
      <c r="A238" t="s">
        <v>56</v>
      </c>
      <c r="B238" t="s">
        <v>45</v>
      </c>
      <c r="C238" t="s">
        <v>46</v>
      </c>
      <c r="D238" t="s">
        <v>59</v>
      </c>
      <c r="E238" t="s">
        <v>48</v>
      </c>
      <c r="F238" t="s">
        <v>49</v>
      </c>
      <c r="G238" t="s">
        <v>705</v>
      </c>
      <c r="H238">
        <v>857</v>
      </c>
      <c r="I238" t="s">
        <v>62</v>
      </c>
      <c r="J238" t="s">
        <v>52</v>
      </c>
      <c r="K238" t="s">
        <v>64</v>
      </c>
      <c r="L238" t="s">
        <v>44</v>
      </c>
      <c r="M238" t="s">
        <v>54</v>
      </c>
      <c r="N238">
        <v>1</v>
      </c>
      <c r="O238">
        <v>-2</v>
      </c>
      <c r="P238">
        <v>0</v>
      </c>
      <c r="Q238">
        <v>36</v>
      </c>
      <c r="R238">
        <v>0</v>
      </c>
      <c r="T238">
        <v>0</v>
      </c>
      <c r="U238">
        <v>1</v>
      </c>
      <c r="V238">
        <v>928</v>
      </c>
      <c r="W238">
        <v>1</v>
      </c>
      <c r="X238" t="s">
        <v>55</v>
      </c>
      <c r="Y238">
        <v>1</v>
      </c>
      <c r="Z238">
        <v>2</v>
      </c>
      <c r="AA238">
        <v>56</v>
      </c>
      <c r="AB238">
        <v>3</v>
      </c>
      <c r="AC238">
        <v>2</v>
      </c>
      <c r="AD238">
        <v>1</v>
      </c>
      <c r="AE238">
        <v>6201</v>
      </c>
      <c r="AF238">
        <v>2823</v>
      </c>
      <c r="AG238">
        <v>1</v>
      </c>
      <c r="AH238">
        <v>14</v>
      </c>
      <c r="AI238">
        <v>3</v>
      </c>
      <c r="AJ238">
        <v>4</v>
      </c>
      <c r="AK238">
        <v>80</v>
      </c>
      <c r="AL238">
        <v>1</v>
      </c>
      <c r="AM238">
        <v>18</v>
      </c>
      <c r="AN238">
        <v>2</v>
      </c>
      <c r="AO238">
        <v>18</v>
      </c>
      <c r="AP238">
        <v>14</v>
      </c>
      <c r="AQ238">
        <v>4</v>
      </c>
      <c r="AR238">
        <v>11</v>
      </c>
    </row>
    <row r="239" spans="1:44" x14ac:dyDescent="0.35">
      <c r="A239" t="s">
        <v>56</v>
      </c>
      <c r="B239" t="s">
        <v>45</v>
      </c>
      <c r="C239" t="s">
        <v>69</v>
      </c>
      <c r="D239" t="s">
        <v>59</v>
      </c>
      <c r="E239" t="s">
        <v>48</v>
      </c>
      <c r="F239" t="s">
        <v>72</v>
      </c>
      <c r="G239" t="s">
        <v>703</v>
      </c>
      <c r="H239">
        <v>855</v>
      </c>
      <c r="I239" t="s">
        <v>62</v>
      </c>
      <c r="J239" t="s">
        <v>52</v>
      </c>
      <c r="K239" t="s">
        <v>79</v>
      </c>
      <c r="L239" t="s">
        <v>56</v>
      </c>
      <c r="M239" t="s">
        <v>54</v>
      </c>
      <c r="N239">
        <v>5</v>
      </c>
      <c r="O239">
        <v>-2</v>
      </c>
      <c r="P239">
        <v>0</v>
      </c>
      <c r="Q239">
        <v>33</v>
      </c>
      <c r="R239">
        <v>0</v>
      </c>
      <c r="T239">
        <v>0</v>
      </c>
      <c r="U239">
        <v>1</v>
      </c>
      <c r="V239">
        <v>586</v>
      </c>
      <c r="W239">
        <v>1</v>
      </c>
      <c r="X239" t="s">
        <v>77</v>
      </c>
      <c r="Y239">
        <v>1</v>
      </c>
      <c r="Z239">
        <v>1</v>
      </c>
      <c r="AA239">
        <v>48</v>
      </c>
      <c r="AB239">
        <v>4</v>
      </c>
      <c r="AC239">
        <v>2</v>
      </c>
      <c r="AD239">
        <v>3</v>
      </c>
      <c r="AE239">
        <v>4037</v>
      </c>
      <c r="AF239">
        <v>21816</v>
      </c>
      <c r="AG239">
        <v>1</v>
      </c>
      <c r="AH239">
        <v>22</v>
      </c>
      <c r="AI239">
        <v>4</v>
      </c>
      <c r="AJ239">
        <v>1</v>
      </c>
      <c r="AK239">
        <v>80</v>
      </c>
      <c r="AL239">
        <v>1</v>
      </c>
      <c r="AM239">
        <v>9</v>
      </c>
      <c r="AN239">
        <v>3</v>
      </c>
      <c r="AO239">
        <v>9</v>
      </c>
      <c r="AP239">
        <v>8</v>
      </c>
      <c r="AQ239">
        <v>0</v>
      </c>
      <c r="AR239">
        <v>8</v>
      </c>
    </row>
    <row r="240" spans="1:44" x14ac:dyDescent="0.35">
      <c r="A240" t="s">
        <v>56</v>
      </c>
      <c r="B240" t="s">
        <v>45</v>
      </c>
      <c r="C240" t="s">
        <v>69</v>
      </c>
      <c r="D240" t="s">
        <v>59</v>
      </c>
      <c r="E240" t="s">
        <v>48</v>
      </c>
      <c r="F240" t="s">
        <v>106</v>
      </c>
      <c r="G240" t="s">
        <v>696</v>
      </c>
      <c r="H240">
        <v>846</v>
      </c>
      <c r="I240" t="s">
        <v>51</v>
      </c>
      <c r="J240" t="s">
        <v>52</v>
      </c>
      <c r="K240" t="s">
        <v>64</v>
      </c>
      <c r="L240" t="s">
        <v>44</v>
      </c>
      <c r="M240" t="s">
        <v>54</v>
      </c>
      <c r="N240">
        <v>2</v>
      </c>
      <c r="O240">
        <v>-2</v>
      </c>
      <c r="P240">
        <v>0</v>
      </c>
      <c r="Q240">
        <v>28</v>
      </c>
      <c r="R240">
        <v>0</v>
      </c>
      <c r="T240">
        <v>0</v>
      </c>
      <c r="U240">
        <v>1</v>
      </c>
      <c r="V240">
        <v>760</v>
      </c>
      <c r="W240">
        <v>2</v>
      </c>
      <c r="X240" t="s">
        <v>71</v>
      </c>
      <c r="Y240">
        <v>1</v>
      </c>
      <c r="Z240">
        <v>2</v>
      </c>
      <c r="AA240">
        <v>81</v>
      </c>
      <c r="AB240">
        <v>3</v>
      </c>
      <c r="AC240">
        <v>2</v>
      </c>
      <c r="AD240">
        <v>2</v>
      </c>
      <c r="AE240">
        <v>4779</v>
      </c>
      <c r="AF240">
        <v>3698</v>
      </c>
      <c r="AG240">
        <v>1</v>
      </c>
      <c r="AH240">
        <v>20</v>
      </c>
      <c r="AI240">
        <v>4</v>
      </c>
      <c r="AJ240">
        <v>1</v>
      </c>
      <c r="AK240">
        <v>80</v>
      </c>
      <c r="AL240">
        <v>0</v>
      </c>
      <c r="AM240">
        <v>8</v>
      </c>
      <c r="AN240">
        <v>3</v>
      </c>
      <c r="AO240">
        <v>8</v>
      </c>
      <c r="AP240">
        <v>7</v>
      </c>
      <c r="AQ240">
        <v>7</v>
      </c>
      <c r="AR240">
        <v>5</v>
      </c>
    </row>
    <row r="241" spans="1:44" x14ac:dyDescent="0.35">
      <c r="A241" t="s">
        <v>44</v>
      </c>
      <c r="B241" t="s">
        <v>45</v>
      </c>
      <c r="C241" t="s">
        <v>75</v>
      </c>
      <c r="D241" t="s">
        <v>47</v>
      </c>
      <c r="E241" t="s">
        <v>48</v>
      </c>
      <c r="F241" t="s">
        <v>72</v>
      </c>
      <c r="G241" t="s">
        <v>692</v>
      </c>
      <c r="H241">
        <v>842</v>
      </c>
      <c r="I241" t="s">
        <v>62</v>
      </c>
      <c r="J241" t="s">
        <v>52</v>
      </c>
      <c r="K241" t="s">
        <v>53</v>
      </c>
      <c r="L241" t="s">
        <v>56</v>
      </c>
      <c r="M241" t="s">
        <v>54</v>
      </c>
      <c r="N241">
        <v>3</v>
      </c>
      <c r="O241">
        <v>-2</v>
      </c>
      <c r="P241">
        <v>0</v>
      </c>
      <c r="Q241">
        <v>55</v>
      </c>
      <c r="R241">
        <v>1</v>
      </c>
      <c r="S241">
        <v>1</v>
      </c>
      <c r="T241">
        <v>1</v>
      </c>
      <c r="U241">
        <v>0</v>
      </c>
      <c r="V241">
        <v>436</v>
      </c>
      <c r="W241">
        <v>2</v>
      </c>
      <c r="X241" t="s">
        <v>65</v>
      </c>
      <c r="Y241">
        <v>1</v>
      </c>
      <c r="Z241">
        <v>3</v>
      </c>
      <c r="AA241">
        <v>37</v>
      </c>
      <c r="AB241">
        <v>3</v>
      </c>
      <c r="AC241">
        <v>2</v>
      </c>
      <c r="AD241">
        <v>4</v>
      </c>
      <c r="AE241">
        <v>5160</v>
      </c>
      <c r="AF241">
        <v>21519</v>
      </c>
      <c r="AG241">
        <v>4</v>
      </c>
      <c r="AH241">
        <v>16</v>
      </c>
      <c r="AI241">
        <v>3</v>
      </c>
      <c r="AJ241">
        <v>3</v>
      </c>
      <c r="AK241">
        <v>80</v>
      </c>
      <c r="AL241">
        <v>0</v>
      </c>
      <c r="AM241">
        <v>12</v>
      </c>
      <c r="AN241">
        <v>2</v>
      </c>
      <c r="AO241">
        <v>9</v>
      </c>
      <c r="AP241">
        <v>7</v>
      </c>
      <c r="AQ241">
        <v>7</v>
      </c>
      <c r="AR241">
        <v>3</v>
      </c>
    </row>
    <row r="242" spans="1:44" x14ac:dyDescent="0.35">
      <c r="A242" t="s">
        <v>44</v>
      </c>
      <c r="B242" t="s">
        <v>45</v>
      </c>
      <c r="C242" t="s">
        <v>58</v>
      </c>
      <c r="D242" t="s">
        <v>47</v>
      </c>
      <c r="E242" t="s">
        <v>48</v>
      </c>
      <c r="F242" t="s">
        <v>106</v>
      </c>
      <c r="G242" t="s">
        <v>691</v>
      </c>
      <c r="H242">
        <v>840</v>
      </c>
      <c r="I242" t="s">
        <v>51</v>
      </c>
      <c r="J242" t="s">
        <v>52</v>
      </c>
      <c r="K242" t="s">
        <v>64</v>
      </c>
      <c r="L242" t="s">
        <v>56</v>
      </c>
      <c r="M242" t="s">
        <v>54</v>
      </c>
      <c r="N242">
        <v>3</v>
      </c>
      <c r="O242">
        <v>-2</v>
      </c>
      <c r="P242">
        <v>0</v>
      </c>
      <c r="Q242">
        <v>49</v>
      </c>
      <c r="R242">
        <v>1</v>
      </c>
      <c r="S242">
        <v>1</v>
      </c>
      <c r="T242">
        <v>1</v>
      </c>
      <c r="U242">
        <v>0</v>
      </c>
      <c r="V242">
        <v>1184</v>
      </c>
      <c r="W242">
        <v>11</v>
      </c>
      <c r="X242" t="s">
        <v>77</v>
      </c>
      <c r="Y242">
        <v>1</v>
      </c>
      <c r="Z242">
        <v>3</v>
      </c>
      <c r="AA242">
        <v>43</v>
      </c>
      <c r="AB242">
        <v>3</v>
      </c>
      <c r="AC242">
        <v>3</v>
      </c>
      <c r="AD242">
        <v>2</v>
      </c>
      <c r="AE242">
        <v>7654</v>
      </c>
      <c r="AF242">
        <v>5860</v>
      </c>
      <c r="AG242">
        <v>1</v>
      </c>
      <c r="AH242">
        <v>18</v>
      </c>
      <c r="AI242">
        <v>3</v>
      </c>
      <c r="AJ242">
        <v>1</v>
      </c>
      <c r="AK242">
        <v>80</v>
      </c>
      <c r="AL242">
        <v>2</v>
      </c>
      <c r="AM242">
        <v>9</v>
      </c>
      <c r="AN242">
        <v>4</v>
      </c>
      <c r="AO242">
        <v>9</v>
      </c>
      <c r="AP242">
        <v>8</v>
      </c>
      <c r="AQ242">
        <v>7</v>
      </c>
      <c r="AR242">
        <v>7</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44</v>
      </c>
      <c r="B244" t="s">
        <v>45</v>
      </c>
      <c r="C244" t="s">
        <v>69</v>
      </c>
      <c r="D244" t="s">
        <v>47</v>
      </c>
      <c r="E244" t="s">
        <v>48</v>
      </c>
      <c r="F244" t="s">
        <v>106</v>
      </c>
      <c r="G244" t="s">
        <v>675</v>
      </c>
      <c r="H244">
        <v>819</v>
      </c>
      <c r="I244" t="s">
        <v>51</v>
      </c>
      <c r="J244" t="s">
        <v>52</v>
      </c>
      <c r="K244" t="s">
        <v>53</v>
      </c>
      <c r="L244" t="s">
        <v>56</v>
      </c>
      <c r="M244" t="s">
        <v>54</v>
      </c>
      <c r="N244">
        <v>3</v>
      </c>
      <c r="O244">
        <v>-2</v>
      </c>
      <c r="P244">
        <v>0</v>
      </c>
      <c r="Q244">
        <v>33</v>
      </c>
      <c r="R244">
        <v>1</v>
      </c>
      <c r="S244">
        <v>1</v>
      </c>
      <c r="T244">
        <v>1</v>
      </c>
      <c r="U244">
        <v>0</v>
      </c>
      <c r="V244">
        <v>118</v>
      </c>
      <c r="W244">
        <v>16</v>
      </c>
      <c r="X244" t="s">
        <v>77</v>
      </c>
      <c r="Y244">
        <v>1</v>
      </c>
      <c r="Z244">
        <v>1</v>
      </c>
      <c r="AA244">
        <v>69</v>
      </c>
      <c r="AB244">
        <v>3</v>
      </c>
      <c r="AC244">
        <v>2</v>
      </c>
      <c r="AD244">
        <v>2</v>
      </c>
      <c r="AE244">
        <v>5324</v>
      </c>
      <c r="AF244">
        <v>26507</v>
      </c>
      <c r="AG244">
        <v>5</v>
      </c>
      <c r="AH244">
        <v>15</v>
      </c>
      <c r="AI244">
        <v>3</v>
      </c>
      <c r="AJ244">
        <v>3</v>
      </c>
      <c r="AK244">
        <v>80</v>
      </c>
      <c r="AL244">
        <v>0</v>
      </c>
      <c r="AM244">
        <v>6</v>
      </c>
      <c r="AN244">
        <v>3</v>
      </c>
      <c r="AO244">
        <v>3</v>
      </c>
      <c r="AP244">
        <v>2</v>
      </c>
      <c r="AQ244">
        <v>0</v>
      </c>
      <c r="AR244">
        <v>2</v>
      </c>
    </row>
    <row r="245" spans="1:44" x14ac:dyDescent="0.35">
      <c r="A245" t="s">
        <v>56</v>
      </c>
      <c r="B245" t="s">
        <v>45</v>
      </c>
      <c r="C245" t="s">
        <v>69</v>
      </c>
      <c r="D245" t="s">
        <v>59</v>
      </c>
      <c r="E245" t="s">
        <v>48</v>
      </c>
      <c r="F245" t="s">
        <v>49</v>
      </c>
      <c r="G245" t="s">
        <v>667</v>
      </c>
      <c r="H245">
        <v>808</v>
      </c>
      <c r="I245" t="s">
        <v>51</v>
      </c>
      <c r="J245" t="s">
        <v>52</v>
      </c>
      <c r="K245" t="s">
        <v>64</v>
      </c>
      <c r="L245" t="s">
        <v>56</v>
      </c>
      <c r="M245" t="s">
        <v>54</v>
      </c>
      <c r="N245">
        <v>1</v>
      </c>
      <c r="O245">
        <v>-2</v>
      </c>
      <c r="P245">
        <v>0</v>
      </c>
      <c r="Q245">
        <v>34</v>
      </c>
      <c r="R245">
        <v>0</v>
      </c>
      <c r="T245">
        <v>0</v>
      </c>
      <c r="U245">
        <v>1</v>
      </c>
      <c r="V245">
        <v>1111</v>
      </c>
      <c r="W245">
        <v>8</v>
      </c>
      <c r="X245" t="s">
        <v>55</v>
      </c>
      <c r="Y245">
        <v>1</v>
      </c>
      <c r="Z245">
        <v>3</v>
      </c>
      <c r="AA245">
        <v>93</v>
      </c>
      <c r="AB245">
        <v>3</v>
      </c>
      <c r="AC245">
        <v>2</v>
      </c>
      <c r="AD245">
        <v>1</v>
      </c>
      <c r="AE245">
        <v>6500</v>
      </c>
      <c r="AF245">
        <v>13305</v>
      </c>
      <c r="AG245">
        <v>5</v>
      </c>
      <c r="AH245">
        <v>17</v>
      </c>
      <c r="AI245">
        <v>3</v>
      </c>
      <c r="AJ245">
        <v>2</v>
      </c>
      <c r="AK245">
        <v>80</v>
      </c>
      <c r="AL245">
        <v>1</v>
      </c>
      <c r="AM245">
        <v>6</v>
      </c>
      <c r="AN245">
        <v>3</v>
      </c>
      <c r="AO245">
        <v>3</v>
      </c>
      <c r="AP245">
        <v>2</v>
      </c>
      <c r="AQ245">
        <v>1</v>
      </c>
      <c r="AR245">
        <v>2</v>
      </c>
    </row>
    <row r="246" spans="1:44" x14ac:dyDescent="0.35">
      <c r="A246" t="s">
        <v>56</v>
      </c>
      <c r="B246" t="s">
        <v>57</v>
      </c>
      <c r="C246" t="s">
        <v>69</v>
      </c>
      <c r="D246" t="s">
        <v>59</v>
      </c>
      <c r="E246" t="s">
        <v>48</v>
      </c>
      <c r="F246" t="s">
        <v>106</v>
      </c>
      <c r="G246" t="s">
        <v>660</v>
      </c>
      <c r="H246">
        <v>800</v>
      </c>
      <c r="I246" t="s">
        <v>62</v>
      </c>
      <c r="J246" t="s">
        <v>52</v>
      </c>
      <c r="K246" t="s">
        <v>64</v>
      </c>
      <c r="L246" t="s">
        <v>56</v>
      </c>
      <c r="M246" t="s">
        <v>54</v>
      </c>
      <c r="N246">
        <v>3</v>
      </c>
      <c r="O246">
        <v>-2</v>
      </c>
      <c r="P246">
        <v>0</v>
      </c>
      <c r="Q246">
        <v>27</v>
      </c>
      <c r="R246">
        <v>0</v>
      </c>
      <c r="T246">
        <v>0</v>
      </c>
      <c r="U246">
        <v>1</v>
      </c>
      <c r="V246">
        <v>829</v>
      </c>
      <c r="W246">
        <v>8</v>
      </c>
      <c r="X246" t="s">
        <v>65</v>
      </c>
      <c r="Y246">
        <v>1</v>
      </c>
      <c r="Z246">
        <v>3</v>
      </c>
      <c r="AA246">
        <v>84</v>
      </c>
      <c r="AB246">
        <v>3</v>
      </c>
      <c r="AC246">
        <v>2</v>
      </c>
      <c r="AD246">
        <v>2</v>
      </c>
      <c r="AE246">
        <v>4342</v>
      </c>
      <c r="AF246">
        <v>24008</v>
      </c>
      <c r="AG246">
        <v>0</v>
      </c>
      <c r="AH246">
        <v>19</v>
      </c>
      <c r="AI246">
        <v>3</v>
      </c>
      <c r="AJ246">
        <v>2</v>
      </c>
      <c r="AK246">
        <v>80</v>
      </c>
      <c r="AL246">
        <v>1</v>
      </c>
      <c r="AM246">
        <v>5</v>
      </c>
      <c r="AN246">
        <v>3</v>
      </c>
      <c r="AO246">
        <v>4</v>
      </c>
      <c r="AP246">
        <v>2</v>
      </c>
      <c r="AQ246">
        <v>1</v>
      </c>
      <c r="AR246">
        <v>1</v>
      </c>
    </row>
    <row r="247" spans="1:44" x14ac:dyDescent="0.35">
      <c r="A247" t="s">
        <v>44</v>
      </c>
      <c r="B247" t="s">
        <v>45</v>
      </c>
      <c r="C247" t="s">
        <v>69</v>
      </c>
      <c r="D247" t="s">
        <v>47</v>
      </c>
      <c r="E247" t="s">
        <v>48</v>
      </c>
      <c r="F247" t="s">
        <v>113</v>
      </c>
      <c r="G247" t="s">
        <v>657</v>
      </c>
      <c r="H247">
        <v>796</v>
      </c>
      <c r="I247" t="s">
        <v>62</v>
      </c>
      <c r="J247" t="s">
        <v>52</v>
      </c>
      <c r="K247" t="s">
        <v>53</v>
      </c>
      <c r="L247" t="s">
        <v>56</v>
      </c>
      <c r="M247" t="s">
        <v>54</v>
      </c>
      <c r="N247">
        <v>2</v>
      </c>
      <c r="O247">
        <v>-2</v>
      </c>
      <c r="P247">
        <v>0</v>
      </c>
      <c r="Q247">
        <v>26</v>
      </c>
      <c r="R247">
        <v>1</v>
      </c>
      <c r="S247">
        <v>1</v>
      </c>
      <c r="T247">
        <v>1</v>
      </c>
      <c r="U247">
        <v>0</v>
      </c>
      <c r="V247">
        <v>1146</v>
      </c>
      <c r="W247">
        <v>8</v>
      </c>
      <c r="X247" t="s">
        <v>77</v>
      </c>
      <c r="Y247">
        <v>1</v>
      </c>
      <c r="Z247">
        <v>4</v>
      </c>
      <c r="AA247">
        <v>38</v>
      </c>
      <c r="AB247">
        <v>2</v>
      </c>
      <c r="AC247">
        <v>2</v>
      </c>
      <c r="AD247">
        <v>4</v>
      </c>
      <c r="AE247">
        <v>5326</v>
      </c>
      <c r="AF247">
        <v>3064</v>
      </c>
      <c r="AG247">
        <v>6</v>
      </c>
      <c r="AH247">
        <v>17</v>
      </c>
      <c r="AI247">
        <v>3</v>
      </c>
      <c r="AJ247">
        <v>3</v>
      </c>
      <c r="AK247">
        <v>80</v>
      </c>
      <c r="AL247">
        <v>0</v>
      </c>
      <c r="AM247">
        <v>6</v>
      </c>
      <c r="AN247">
        <v>2</v>
      </c>
      <c r="AO247">
        <v>4</v>
      </c>
      <c r="AP247">
        <v>3</v>
      </c>
      <c r="AQ247">
        <v>1</v>
      </c>
      <c r="AR247">
        <v>2</v>
      </c>
    </row>
    <row r="248" spans="1:44" x14ac:dyDescent="0.35">
      <c r="A248" t="s">
        <v>56</v>
      </c>
      <c r="B248" t="s">
        <v>91</v>
      </c>
      <c r="C248" t="s">
        <v>46</v>
      </c>
      <c r="D248" t="s">
        <v>59</v>
      </c>
      <c r="E248" t="s">
        <v>48</v>
      </c>
      <c r="F248" t="s">
        <v>49</v>
      </c>
      <c r="G248" t="s">
        <v>653</v>
      </c>
      <c r="H248">
        <v>789</v>
      </c>
      <c r="I248" t="s">
        <v>62</v>
      </c>
      <c r="J248" t="s">
        <v>52</v>
      </c>
      <c r="K248" t="s">
        <v>53</v>
      </c>
      <c r="L248" t="s">
        <v>56</v>
      </c>
      <c r="M248" t="s">
        <v>54</v>
      </c>
      <c r="N248">
        <v>1</v>
      </c>
      <c r="O248">
        <v>-2</v>
      </c>
      <c r="P248">
        <v>0</v>
      </c>
      <c r="Q248">
        <v>36</v>
      </c>
      <c r="R248">
        <v>0</v>
      </c>
      <c r="T248">
        <v>0</v>
      </c>
      <c r="U248">
        <v>1</v>
      </c>
      <c r="V248">
        <v>1434</v>
      </c>
      <c r="W248">
        <v>8</v>
      </c>
      <c r="X248" t="s">
        <v>71</v>
      </c>
      <c r="Y248">
        <v>1</v>
      </c>
      <c r="Z248">
        <v>1</v>
      </c>
      <c r="AA248">
        <v>76</v>
      </c>
      <c r="AB248">
        <v>2</v>
      </c>
      <c r="AC248">
        <v>3</v>
      </c>
      <c r="AD248">
        <v>1</v>
      </c>
      <c r="AE248">
        <v>7587</v>
      </c>
      <c r="AF248">
        <v>14229</v>
      </c>
      <c r="AG248">
        <v>1</v>
      </c>
      <c r="AH248">
        <v>15</v>
      </c>
      <c r="AI248">
        <v>3</v>
      </c>
      <c r="AJ248">
        <v>2</v>
      </c>
      <c r="AK248">
        <v>80</v>
      </c>
      <c r="AL248">
        <v>0</v>
      </c>
      <c r="AM248">
        <v>10</v>
      </c>
      <c r="AN248">
        <v>3</v>
      </c>
      <c r="AO248">
        <v>10</v>
      </c>
      <c r="AP248">
        <v>7</v>
      </c>
      <c r="AQ248">
        <v>0</v>
      </c>
      <c r="AR248">
        <v>9</v>
      </c>
    </row>
    <row r="249" spans="1:44" x14ac:dyDescent="0.35">
      <c r="A249" t="s">
        <v>56</v>
      </c>
      <c r="B249" t="s">
        <v>45</v>
      </c>
      <c r="C249" t="s">
        <v>69</v>
      </c>
      <c r="D249" t="s">
        <v>59</v>
      </c>
      <c r="E249" t="s">
        <v>48</v>
      </c>
      <c r="F249" t="s">
        <v>66</v>
      </c>
      <c r="G249" t="s">
        <v>651</v>
      </c>
      <c r="H249">
        <v>786</v>
      </c>
      <c r="I249" t="s">
        <v>62</v>
      </c>
      <c r="J249" t="s">
        <v>52</v>
      </c>
      <c r="K249" t="s">
        <v>53</v>
      </c>
      <c r="L249" t="s">
        <v>56</v>
      </c>
      <c r="M249" t="s">
        <v>54</v>
      </c>
      <c r="N249">
        <v>5</v>
      </c>
      <c r="O249">
        <v>-2</v>
      </c>
      <c r="P249">
        <v>0</v>
      </c>
      <c r="Q249">
        <v>34</v>
      </c>
      <c r="R249">
        <v>0</v>
      </c>
      <c r="T249">
        <v>0</v>
      </c>
      <c r="U249">
        <v>1</v>
      </c>
      <c r="V249">
        <v>304</v>
      </c>
      <c r="W249">
        <v>2</v>
      </c>
      <c r="X249" t="s">
        <v>77</v>
      </c>
      <c r="Y249">
        <v>1</v>
      </c>
      <c r="Z249">
        <v>4</v>
      </c>
      <c r="AA249">
        <v>60</v>
      </c>
      <c r="AB249">
        <v>3</v>
      </c>
      <c r="AC249">
        <v>2</v>
      </c>
      <c r="AD249">
        <v>4</v>
      </c>
      <c r="AE249">
        <v>6274</v>
      </c>
      <c r="AF249">
        <v>18686</v>
      </c>
      <c r="AG249">
        <v>1</v>
      </c>
      <c r="AH249">
        <v>22</v>
      </c>
      <c r="AI249">
        <v>4</v>
      </c>
      <c r="AJ249">
        <v>3</v>
      </c>
      <c r="AK249">
        <v>80</v>
      </c>
      <c r="AL249">
        <v>0</v>
      </c>
      <c r="AM249">
        <v>6</v>
      </c>
      <c r="AN249">
        <v>3</v>
      </c>
      <c r="AO249">
        <v>6</v>
      </c>
      <c r="AP249">
        <v>5</v>
      </c>
      <c r="AQ249">
        <v>1</v>
      </c>
      <c r="AR249">
        <v>4</v>
      </c>
    </row>
    <row r="250" spans="1:44" x14ac:dyDescent="0.35">
      <c r="A250" t="s">
        <v>44</v>
      </c>
      <c r="B250" t="s">
        <v>57</v>
      </c>
      <c r="C250" t="s">
        <v>58</v>
      </c>
      <c r="D250" t="s">
        <v>47</v>
      </c>
      <c r="E250" t="s">
        <v>48</v>
      </c>
      <c r="F250" t="s">
        <v>49</v>
      </c>
      <c r="G250" t="s">
        <v>650</v>
      </c>
      <c r="H250">
        <v>785</v>
      </c>
      <c r="I250" t="s">
        <v>51</v>
      </c>
      <c r="J250" t="s">
        <v>52</v>
      </c>
      <c r="K250" t="s">
        <v>53</v>
      </c>
      <c r="L250" t="s">
        <v>44</v>
      </c>
      <c r="M250" t="s">
        <v>54</v>
      </c>
      <c r="N250">
        <v>2</v>
      </c>
      <c r="O250">
        <v>-2</v>
      </c>
      <c r="P250">
        <v>0</v>
      </c>
      <c r="Q250">
        <v>47</v>
      </c>
      <c r="R250">
        <v>1</v>
      </c>
      <c r="S250">
        <v>1</v>
      </c>
      <c r="T250">
        <v>1</v>
      </c>
      <c r="U250">
        <v>0</v>
      </c>
      <c r="V250">
        <v>719</v>
      </c>
      <c r="W250">
        <v>27</v>
      </c>
      <c r="X250" t="s">
        <v>55</v>
      </c>
      <c r="Y250">
        <v>1</v>
      </c>
      <c r="Z250">
        <v>2</v>
      </c>
      <c r="AA250">
        <v>77</v>
      </c>
      <c r="AB250">
        <v>4</v>
      </c>
      <c r="AC250">
        <v>2</v>
      </c>
      <c r="AD250">
        <v>1</v>
      </c>
      <c r="AE250">
        <v>6397</v>
      </c>
      <c r="AF250">
        <v>10339</v>
      </c>
      <c r="AG250">
        <v>4</v>
      </c>
      <c r="AH250">
        <v>12</v>
      </c>
      <c r="AI250">
        <v>3</v>
      </c>
      <c r="AJ250">
        <v>4</v>
      </c>
      <c r="AK250">
        <v>80</v>
      </c>
      <c r="AL250">
        <v>0</v>
      </c>
      <c r="AM250">
        <v>8</v>
      </c>
      <c r="AN250">
        <v>3</v>
      </c>
      <c r="AO250">
        <v>5</v>
      </c>
      <c r="AP250">
        <v>4</v>
      </c>
      <c r="AQ250">
        <v>1</v>
      </c>
      <c r="AR250">
        <v>3</v>
      </c>
    </row>
    <row r="251" spans="1:44" x14ac:dyDescent="0.35">
      <c r="A251" t="s">
        <v>56</v>
      </c>
      <c r="B251" t="s">
        <v>45</v>
      </c>
      <c r="C251" t="s">
        <v>69</v>
      </c>
      <c r="D251" t="s">
        <v>59</v>
      </c>
      <c r="E251" t="s">
        <v>48</v>
      </c>
      <c r="F251" t="s">
        <v>72</v>
      </c>
      <c r="G251" t="s">
        <v>647</v>
      </c>
      <c r="H251">
        <v>781</v>
      </c>
      <c r="I251" t="s">
        <v>51</v>
      </c>
      <c r="J251" t="s">
        <v>52</v>
      </c>
      <c r="K251" t="s">
        <v>53</v>
      </c>
      <c r="L251" t="s">
        <v>56</v>
      </c>
      <c r="M251" t="s">
        <v>54</v>
      </c>
      <c r="N251">
        <v>5</v>
      </c>
      <c r="O251">
        <v>-2</v>
      </c>
      <c r="P251">
        <v>0</v>
      </c>
      <c r="Q251">
        <v>25</v>
      </c>
      <c r="R251">
        <v>0</v>
      </c>
      <c r="T251">
        <v>0</v>
      </c>
      <c r="U251">
        <v>1</v>
      </c>
      <c r="V251">
        <v>883</v>
      </c>
      <c r="W251">
        <v>26</v>
      </c>
      <c r="X251" t="s">
        <v>65</v>
      </c>
      <c r="Y251">
        <v>1</v>
      </c>
      <c r="Z251">
        <v>3</v>
      </c>
      <c r="AA251">
        <v>32</v>
      </c>
      <c r="AB251">
        <v>3</v>
      </c>
      <c r="AC251">
        <v>2</v>
      </c>
      <c r="AD251">
        <v>4</v>
      </c>
      <c r="AE251">
        <v>6180</v>
      </c>
      <c r="AF251">
        <v>22807</v>
      </c>
      <c r="AG251">
        <v>1</v>
      </c>
      <c r="AH251">
        <v>23</v>
      </c>
      <c r="AI251">
        <v>4</v>
      </c>
      <c r="AJ251">
        <v>2</v>
      </c>
      <c r="AK251">
        <v>80</v>
      </c>
      <c r="AL251">
        <v>0</v>
      </c>
      <c r="AM251">
        <v>6</v>
      </c>
      <c r="AN251">
        <v>2</v>
      </c>
      <c r="AO251">
        <v>6</v>
      </c>
      <c r="AP251">
        <v>5</v>
      </c>
      <c r="AQ251">
        <v>1</v>
      </c>
      <c r="AR251">
        <v>4</v>
      </c>
    </row>
    <row r="252" spans="1:44" x14ac:dyDescent="0.35">
      <c r="A252" t="s">
        <v>56</v>
      </c>
      <c r="B252" t="s">
        <v>57</v>
      </c>
      <c r="C252" t="s">
        <v>46</v>
      </c>
      <c r="D252" t="s">
        <v>59</v>
      </c>
      <c r="E252" t="s">
        <v>48</v>
      </c>
      <c r="F252" t="s">
        <v>49</v>
      </c>
      <c r="G252" t="s">
        <v>632</v>
      </c>
      <c r="H252">
        <v>754</v>
      </c>
      <c r="I252" t="s">
        <v>62</v>
      </c>
      <c r="J252" t="s">
        <v>52</v>
      </c>
      <c r="K252" t="s">
        <v>64</v>
      </c>
      <c r="L252" t="s">
        <v>56</v>
      </c>
      <c r="M252" t="s">
        <v>54</v>
      </c>
      <c r="N252">
        <v>5</v>
      </c>
      <c r="O252">
        <v>-2</v>
      </c>
      <c r="P252">
        <v>0</v>
      </c>
      <c r="Q252">
        <v>43</v>
      </c>
      <c r="R252">
        <v>0</v>
      </c>
      <c r="T252">
        <v>0</v>
      </c>
      <c r="U252">
        <v>1</v>
      </c>
      <c r="V252">
        <v>775</v>
      </c>
      <c r="W252">
        <v>15</v>
      </c>
      <c r="X252" t="s">
        <v>77</v>
      </c>
      <c r="Y252">
        <v>1</v>
      </c>
      <c r="Z252">
        <v>4</v>
      </c>
      <c r="AA252">
        <v>47</v>
      </c>
      <c r="AB252">
        <v>2</v>
      </c>
      <c r="AC252">
        <v>2</v>
      </c>
      <c r="AD252">
        <v>4</v>
      </c>
      <c r="AE252">
        <v>6804</v>
      </c>
      <c r="AF252">
        <v>23683</v>
      </c>
      <c r="AG252">
        <v>3</v>
      </c>
      <c r="AH252">
        <v>18</v>
      </c>
      <c r="AI252">
        <v>3</v>
      </c>
      <c r="AJ252">
        <v>3</v>
      </c>
      <c r="AK252">
        <v>80</v>
      </c>
      <c r="AL252">
        <v>1</v>
      </c>
      <c r="AM252">
        <v>7</v>
      </c>
      <c r="AN252">
        <v>3</v>
      </c>
      <c r="AO252">
        <v>2</v>
      </c>
      <c r="AP252">
        <v>2</v>
      </c>
      <c r="AQ252">
        <v>2</v>
      </c>
      <c r="AR252">
        <v>2</v>
      </c>
    </row>
    <row r="253" spans="1:44" x14ac:dyDescent="0.35">
      <c r="A253" t="s">
        <v>56</v>
      </c>
      <c r="B253" t="s">
        <v>45</v>
      </c>
      <c r="C253" t="s">
        <v>69</v>
      </c>
      <c r="D253" t="s">
        <v>59</v>
      </c>
      <c r="E253" t="s">
        <v>48</v>
      </c>
      <c r="F253" t="s">
        <v>106</v>
      </c>
      <c r="G253" t="s">
        <v>629</v>
      </c>
      <c r="H253">
        <v>747</v>
      </c>
      <c r="I253" t="s">
        <v>62</v>
      </c>
      <c r="J253" t="s">
        <v>52</v>
      </c>
      <c r="K253" t="s">
        <v>79</v>
      </c>
      <c r="L253" t="s">
        <v>56</v>
      </c>
      <c r="M253" t="s">
        <v>54</v>
      </c>
      <c r="N253">
        <v>2</v>
      </c>
      <c r="O253">
        <v>-2</v>
      </c>
      <c r="P253">
        <v>0</v>
      </c>
      <c r="Q253">
        <v>30</v>
      </c>
      <c r="R253">
        <v>0</v>
      </c>
      <c r="T253">
        <v>0</v>
      </c>
      <c r="U253">
        <v>1</v>
      </c>
      <c r="V253">
        <v>501</v>
      </c>
      <c r="W253">
        <v>27</v>
      </c>
      <c r="X253" t="s">
        <v>134</v>
      </c>
      <c r="Y253">
        <v>1</v>
      </c>
      <c r="Z253">
        <v>3</v>
      </c>
      <c r="AA253">
        <v>99</v>
      </c>
      <c r="AB253">
        <v>3</v>
      </c>
      <c r="AC253">
        <v>2</v>
      </c>
      <c r="AD253">
        <v>1</v>
      </c>
      <c r="AE253">
        <v>5304</v>
      </c>
      <c r="AF253">
        <v>25275</v>
      </c>
      <c r="AG253">
        <v>7</v>
      </c>
      <c r="AH253">
        <v>23</v>
      </c>
      <c r="AI253">
        <v>4</v>
      </c>
      <c r="AJ253">
        <v>4</v>
      </c>
      <c r="AK253">
        <v>80</v>
      </c>
      <c r="AL253">
        <v>1</v>
      </c>
      <c r="AM253">
        <v>10</v>
      </c>
      <c r="AN253">
        <v>2</v>
      </c>
      <c r="AO253">
        <v>8</v>
      </c>
      <c r="AP253">
        <v>7</v>
      </c>
      <c r="AQ253">
        <v>7</v>
      </c>
      <c r="AR253">
        <v>7</v>
      </c>
    </row>
    <row r="254" spans="1:44" x14ac:dyDescent="0.35">
      <c r="A254" t="s">
        <v>56</v>
      </c>
      <c r="B254" t="s">
        <v>57</v>
      </c>
      <c r="C254" t="s">
        <v>58</v>
      </c>
      <c r="D254" t="s">
        <v>59</v>
      </c>
      <c r="E254" t="s">
        <v>48</v>
      </c>
      <c r="F254" t="s">
        <v>72</v>
      </c>
      <c r="G254" t="s">
        <v>628</v>
      </c>
      <c r="H254">
        <v>746</v>
      </c>
      <c r="I254" t="s">
        <v>51</v>
      </c>
      <c r="J254" t="s">
        <v>52</v>
      </c>
      <c r="K254" t="s">
        <v>79</v>
      </c>
      <c r="L254" t="s">
        <v>44</v>
      </c>
      <c r="M254" t="s">
        <v>54</v>
      </c>
      <c r="N254">
        <v>2</v>
      </c>
      <c r="O254">
        <v>-2</v>
      </c>
      <c r="P254">
        <v>0</v>
      </c>
      <c r="Q254">
        <v>47</v>
      </c>
      <c r="R254">
        <v>0</v>
      </c>
      <c r="T254">
        <v>0</v>
      </c>
      <c r="U254">
        <v>1</v>
      </c>
      <c r="V254">
        <v>217</v>
      </c>
      <c r="W254">
        <v>3</v>
      </c>
      <c r="X254" t="s">
        <v>77</v>
      </c>
      <c r="Y254">
        <v>1</v>
      </c>
      <c r="Z254">
        <v>4</v>
      </c>
      <c r="AA254">
        <v>49</v>
      </c>
      <c r="AB254">
        <v>3</v>
      </c>
      <c r="AC254">
        <v>4</v>
      </c>
      <c r="AD254">
        <v>3</v>
      </c>
      <c r="AE254">
        <v>13770</v>
      </c>
      <c r="AF254">
        <v>10225</v>
      </c>
      <c r="AG254">
        <v>9</v>
      </c>
      <c r="AH254">
        <v>12</v>
      </c>
      <c r="AI254">
        <v>3</v>
      </c>
      <c r="AJ254">
        <v>4</v>
      </c>
      <c r="AK254">
        <v>80</v>
      </c>
      <c r="AL254">
        <v>2</v>
      </c>
      <c r="AM254">
        <v>28</v>
      </c>
      <c r="AN254">
        <v>2</v>
      </c>
      <c r="AO254">
        <v>22</v>
      </c>
      <c r="AP254">
        <v>2</v>
      </c>
      <c r="AQ254">
        <v>11</v>
      </c>
      <c r="AR254">
        <v>13</v>
      </c>
    </row>
    <row r="255" spans="1:44" x14ac:dyDescent="0.35">
      <c r="A255" t="s">
        <v>56</v>
      </c>
      <c r="B255" t="s">
        <v>45</v>
      </c>
      <c r="C255" t="s">
        <v>75</v>
      </c>
      <c r="D255" t="s">
        <v>59</v>
      </c>
      <c r="E255" t="s">
        <v>48</v>
      </c>
      <c r="F255" t="s">
        <v>106</v>
      </c>
      <c r="G255" t="s">
        <v>620</v>
      </c>
      <c r="H255">
        <v>732</v>
      </c>
      <c r="I255" t="s">
        <v>62</v>
      </c>
      <c r="J255" t="s">
        <v>52</v>
      </c>
      <c r="K255" t="s">
        <v>53</v>
      </c>
      <c r="L255" t="s">
        <v>56</v>
      </c>
      <c r="M255" t="s">
        <v>54</v>
      </c>
      <c r="N255">
        <v>1</v>
      </c>
      <c r="O255">
        <v>-2</v>
      </c>
      <c r="P255">
        <v>0</v>
      </c>
      <c r="Q255">
        <v>60</v>
      </c>
      <c r="R255">
        <v>0</v>
      </c>
      <c r="T255">
        <v>0</v>
      </c>
      <c r="U255">
        <v>1</v>
      </c>
      <c r="V255">
        <v>1179</v>
      </c>
      <c r="W255">
        <v>16</v>
      </c>
      <c r="X255" t="s">
        <v>71</v>
      </c>
      <c r="Y255">
        <v>1</v>
      </c>
      <c r="Z255">
        <v>1</v>
      </c>
      <c r="AA255">
        <v>84</v>
      </c>
      <c r="AB255">
        <v>3</v>
      </c>
      <c r="AC255">
        <v>2</v>
      </c>
      <c r="AD255">
        <v>1</v>
      </c>
      <c r="AE255">
        <v>5405</v>
      </c>
      <c r="AF255">
        <v>11924</v>
      </c>
      <c r="AG255">
        <v>8</v>
      </c>
      <c r="AH255">
        <v>14</v>
      </c>
      <c r="AI255">
        <v>3</v>
      </c>
      <c r="AJ255">
        <v>4</v>
      </c>
      <c r="AK255">
        <v>80</v>
      </c>
      <c r="AL255">
        <v>0</v>
      </c>
      <c r="AM255">
        <v>10</v>
      </c>
      <c r="AN255">
        <v>3</v>
      </c>
      <c r="AO255">
        <v>2</v>
      </c>
      <c r="AP255">
        <v>2</v>
      </c>
      <c r="AQ255">
        <v>2</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57</v>
      </c>
      <c r="C257" t="s">
        <v>46</v>
      </c>
      <c r="D257" t="s">
        <v>59</v>
      </c>
      <c r="E257" t="s">
        <v>48</v>
      </c>
      <c r="F257" t="s">
        <v>49</v>
      </c>
      <c r="G257" t="s">
        <v>617</v>
      </c>
      <c r="H257">
        <v>729</v>
      </c>
      <c r="I257" t="s">
        <v>62</v>
      </c>
      <c r="J257" t="s">
        <v>52</v>
      </c>
      <c r="K257" t="s">
        <v>64</v>
      </c>
      <c r="L257" t="s">
        <v>44</v>
      </c>
      <c r="M257" t="s">
        <v>54</v>
      </c>
      <c r="N257">
        <v>2</v>
      </c>
      <c r="O257">
        <v>-2</v>
      </c>
      <c r="P257">
        <v>0</v>
      </c>
      <c r="Q257">
        <v>40</v>
      </c>
      <c r="R257">
        <v>0</v>
      </c>
      <c r="T257">
        <v>0</v>
      </c>
      <c r="U257">
        <v>1</v>
      </c>
      <c r="V257">
        <v>580</v>
      </c>
      <c r="W257">
        <v>5</v>
      </c>
      <c r="X257" t="s">
        <v>71</v>
      </c>
      <c r="Y257">
        <v>1</v>
      </c>
      <c r="Z257">
        <v>4</v>
      </c>
      <c r="AA257">
        <v>48</v>
      </c>
      <c r="AB257">
        <v>2</v>
      </c>
      <c r="AC257">
        <v>3</v>
      </c>
      <c r="AD257">
        <v>3</v>
      </c>
      <c r="AE257">
        <v>10475</v>
      </c>
      <c r="AF257">
        <v>23772</v>
      </c>
      <c r="AG257">
        <v>5</v>
      </c>
      <c r="AH257">
        <v>21</v>
      </c>
      <c r="AI257">
        <v>4</v>
      </c>
      <c r="AJ257">
        <v>3</v>
      </c>
      <c r="AK257">
        <v>80</v>
      </c>
      <c r="AL257">
        <v>1</v>
      </c>
      <c r="AM257">
        <v>20</v>
      </c>
      <c r="AN257">
        <v>3</v>
      </c>
      <c r="AO257">
        <v>18</v>
      </c>
      <c r="AP257">
        <v>13</v>
      </c>
      <c r="AQ257">
        <v>1</v>
      </c>
      <c r="AR257">
        <v>12</v>
      </c>
    </row>
    <row r="258" spans="1:44" x14ac:dyDescent="0.35">
      <c r="A258" t="s">
        <v>56</v>
      </c>
      <c r="B258" t="s">
        <v>45</v>
      </c>
      <c r="C258" t="s">
        <v>58</v>
      </c>
      <c r="D258" t="s">
        <v>59</v>
      </c>
      <c r="E258" t="s">
        <v>48</v>
      </c>
      <c r="F258" t="s">
        <v>106</v>
      </c>
      <c r="G258" t="s">
        <v>616</v>
      </c>
      <c r="H258">
        <v>728</v>
      </c>
      <c r="I258" t="s">
        <v>62</v>
      </c>
      <c r="J258" t="s">
        <v>52</v>
      </c>
      <c r="K258" t="s">
        <v>53</v>
      </c>
      <c r="L258" t="s">
        <v>56</v>
      </c>
      <c r="M258" t="s">
        <v>54</v>
      </c>
      <c r="N258">
        <v>2</v>
      </c>
      <c r="O258">
        <v>-2</v>
      </c>
      <c r="P258">
        <v>0</v>
      </c>
      <c r="Q258">
        <v>47</v>
      </c>
      <c r="R258">
        <v>0</v>
      </c>
      <c r="T258">
        <v>0</v>
      </c>
      <c r="U258">
        <v>1</v>
      </c>
      <c r="V258">
        <v>703</v>
      </c>
      <c r="W258">
        <v>14</v>
      </c>
      <c r="X258" t="s">
        <v>71</v>
      </c>
      <c r="Y258">
        <v>1</v>
      </c>
      <c r="Z258">
        <v>4</v>
      </c>
      <c r="AA258">
        <v>42</v>
      </c>
      <c r="AB258">
        <v>3</v>
      </c>
      <c r="AC258">
        <v>2</v>
      </c>
      <c r="AD258">
        <v>1</v>
      </c>
      <c r="AE258">
        <v>4960</v>
      </c>
      <c r="AF258">
        <v>11825</v>
      </c>
      <c r="AG258">
        <v>2</v>
      </c>
      <c r="AH258">
        <v>12</v>
      </c>
      <c r="AI258">
        <v>3</v>
      </c>
      <c r="AJ258">
        <v>4</v>
      </c>
      <c r="AK258">
        <v>80</v>
      </c>
      <c r="AL258">
        <v>0</v>
      </c>
      <c r="AM258">
        <v>20</v>
      </c>
      <c r="AN258">
        <v>3</v>
      </c>
      <c r="AO258">
        <v>7</v>
      </c>
      <c r="AP258">
        <v>7</v>
      </c>
      <c r="AQ258">
        <v>1</v>
      </c>
      <c r="AR258">
        <v>7</v>
      </c>
    </row>
    <row r="259" spans="1:44" x14ac:dyDescent="0.35">
      <c r="A259" t="s">
        <v>44</v>
      </c>
      <c r="B259" t="s">
        <v>57</v>
      </c>
      <c r="C259" t="s">
        <v>58</v>
      </c>
      <c r="D259" t="s">
        <v>47</v>
      </c>
      <c r="E259" t="s">
        <v>48</v>
      </c>
      <c r="F259" t="s">
        <v>113</v>
      </c>
      <c r="G259" t="s">
        <v>612</v>
      </c>
      <c r="H259">
        <v>723</v>
      </c>
      <c r="I259" t="s">
        <v>62</v>
      </c>
      <c r="J259" t="s">
        <v>52</v>
      </c>
      <c r="K259" t="s">
        <v>64</v>
      </c>
      <c r="L259" t="s">
        <v>44</v>
      </c>
      <c r="M259" t="s">
        <v>54</v>
      </c>
      <c r="N259">
        <v>4</v>
      </c>
      <c r="O259">
        <v>-2</v>
      </c>
      <c r="P259">
        <v>0</v>
      </c>
      <c r="Q259">
        <v>50</v>
      </c>
      <c r="R259">
        <v>1</v>
      </c>
      <c r="S259">
        <v>1</v>
      </c>
      <c r="T259">
        <v>1</v>
      </c>
      <c r="U259">
        <v>0</v>
      </c>
      <c r="V259">
        <v>562</v>
      </c>
      <c r="W259">
        <v>8</v>
      </c>
      <c r="X259" t="s">
        <v>55</v>
      </c>
      <c r="Y259">
        <v>1</v>
      </c>
      <c r="Z259">
        <v>4</v>
      </c>
      <c r="AA259">
        <v>50</v>
      </c>
      <c r="AB259">
        <v>3</v>
      </c>
      <c r="AC259">
        <v>2</v>
      </c>
      <c r="AD259">
        <v>4</v>
      </c>
      <c r="AE259">
        <v>6796</v>
      </c>
      <c r="AF259">
        <v>23452</v>
      </c>
      <c r="AG259">
        <v>3</v>
      </c>
      <c r="AH259">
        <v>14</v>
      </c>
      <c r="AI259">
        <v>3</v>
      </c>
      <c r="AJ259">
        <v>1</v>
      </c>
      <c r="AK259">
        <v>80</v>
      </c>
      <c r="AL259">
        <v>1</v>
      </c>
      <c r="AM259">
        <v>18</v>
      </c>
      <c r="AN259">
        <v>3</v>
      </c>
      <c r="AO259">
        <v>4</v>
      </c>
      <c r="AP259">
        <v>3</v>
      </c>
      <c r="AQ259">
        <v>1</v>
      </c>
      <c r="AR259">
        <v>3</v>
      </c>
    </row>
    <row r="260" spans="1:44" x14ac:dyDescent="0.35">
      <c r="A260" t="s">
        <v>56</v>
      </c>
      <c r="B260" t="s">
        <v>45</v>
      </c>
      <c r="C260" t="s">
        <v>69</v>
      </c>
      <c r="D260" t="s">
        <v>59</v>
      </c>
      <c r="E260" t="s">
        <v>48</v>
      </c>
      <c r="F260" t="s">
        <v>106</v>
      </c>
      <c r="G260" t="s">
        <v>611</v>
      </c>
      <c r="H260">
        <v>722</v>
      </c>
      <c r="I260" t="s">
        <v>62</v>
      </c>
      <c r="J260" t="s">
        <v>52</v>
      </c>
      <c r="K260" t="s">
        <v>53</v>
      </c>
      <c r="L260" t="s">
        <v>56</v>
      </c>
      <c r="M260" t="s">
        <v>54</v>
      </c>
      <c r="N260">
        <v>2</v>
      </c>
      <c r="O260">
        <v>-2</v>
      </c>
      <c r="P260">
        <v>0</v>
      </c>
      <c r="Q260">
        <v>32</v>
      </c>
      <c r="R260">
        <v>0</v>
      </c>
      <c r="T260">
        <v>0</v>
      </c>
      <c r="U260">
        <v>1</v>
      </c>
      <c r="V260">
        <v>929</v>
      </c>
      <c r="W260">
        <v>10</v>
      </c>
      <c r="X260" t="s">
        <v>77</v>
      </c>
      <c r="Y260">
        <v>1</v>
      </c>
      <c r="Z260">
        <v>4</v>
      </c>
      <c r="AA260">
        <v>55</v>
      </c>
      <c r="AB260">
        <v>3</v>
      </c>
      <c r="AC260">
        <v>2</v>
      </c>
      <c r="AD260">
        <v>1</v>
      </c>
      <c r="AE260">
        <v>5396</v>
      </c>
      <c r="AF260">
        <v>21703</v>
      </c>
      <c r="AG260">
        <v>1</v>
      </c>
      <c r="AH260">
        <v>12</v>
      </c>
      <c r="AI260">
        <v>3</v>
      </c>
      <c r="AJ260">
        <v>4</v>
      </c>
      <c r="AK260">
        <v>80</v>
      </c>
      <c r="AL260">
        <v>0</v>
      </c>
      <c r="AM260">
        <v>10</v>
      </c>
      <c r="AN260">
        <v>2</v>
      </c>
      <c r="AO260">
        <v>10</v>
      </c>
      <c r="AP260">
        <v>7</v>
      </c>
      <c r="AQ260">
        <v>0</v>
      </c>
      <c r="AR260">
        <v>8</v>
      </c>
    </row>
    <row r="261" spans="1:44" x14ac:dyDescent="0.35">
      <c r="A261" t="s">
        <v>44</v>
      </c>
      <c r="B261" t="s">
        <v>45</v>
      </c>
      <c r="C261" t="s">
        <v>92</v>
      </c>
      <c r="D261" t="s">
        <v>47</v>
      </c>
      <c r="E261" t="s">
        <v>48</v>
      </c>
      <c r="F261" t="s">
        <v>49</v>
      </c>
      <c r="G261" t="s">
        <v>609</v>
      </c>
      <c r="H261">
        <v>720</v>
      </c>
      <c r="I261" t="s">
        <v>51</v>
      </c>
      <c r="J261" t="s">
        <v>52</v>
      </c>
      <c r="K261" t="s">
        <v>53</v>
      </c>
      <c r="L261" t="s">
        <v>56</v>
      </c>
      <c r="M261" t="s">
        <v>54</v>
      </c>
      <c r="N261">
        <v>3</v>
      </c>
      <c r="O261">
        <v>-2</v>
      </c>
      <c r="P261">
        <v>0</v>
      </c>
      <c r="Q261">
        <v>24</v>
      </c>
      <c r="R261">
        <v>1</v>
      </c>
      <c r="S261">
        <v>1</v>
      </c>
      <c r="T261">
        <v>1</v>
      </c>
      <c r="U261">
        <v>0</v>
      </c>
      <c r="V261">
        <v>693</v>
      </c>
      <c r="W261">
        <v>3</v>
      </c>
      <c r="X261" t="s">
        <v>55</v>
      </c>
      <c r="Y261">
        <v>1</v>
      </c>
      <c r="Z261">
        <v>1</v>
      </c>
      <c r="AA261">
        <v>65</v>
      </c>
      <c r="AB261">
        <v>3</v>
      </c>
      <c r="AC261">
        <v>2</v>
      </c>
      <c r="AD261">
        <v>3</v>
      </c>
      <c r="AE261">
        <v>4577</v>
      </c>
      <c r="AF261">
        <v>24785</v>
      </c>
      <c r="AG261">
        <v>9</v>
      </c>
      <c r="AH261">
        <v>14</v>
      </c>
      <c r="AI261">
        <v>3</v>
      </c>
      <c r="AJ261">
        <v>1</v>
      </c>
      <c r="AK261">
        <v>80</v>
      </c>
      <c r="AL261">
        <v>0</v>
      </c>
      <c r="AM261">
        <v>4</v>
      </c>
      <c r="AN261">
        <v>3</v>
      </c>
      <c r="AO261">
        <v>2</v>
      </c>
      <c r="AP261">
        <v>2</v>
      </c>
      <c r="AQ261">
        <v>2</v>
      </c>
      <c r="AR261">
        <v>0</v>
      </c>
    </row>
    <row r="262" spans="1:44" x14ac:dyDescent="0.35">
      <c r="A262" t="s">
        <v>56</v>
      </c>
      <c r="B262" t="s">
        <v>57</v>
      </c>
      <c r="C262" t="s">
        <v>69</v>
      </c>
      <c r="D262" t="s">
        <v>59</v>
      </c>
      <c r="E262" t="s">
        <v>48</v>
      </c>
      <c r="F262" t="s">
        <v>72</v>
      </c>
      <c r="G262" t="s">
        <v>605</v>
      </c>
      <c r="H262">
        <v>714</v>
      </c>
      <c r="I262" t="s">
        <v>51</v>
      </c>
      <c r="J262" t="s">
        <v>52</v>
      </c>
      <c r="K262" t="s">
        <v>79</v>
      </c>
      <c r="L262" t="s">
        <v>44</v>
      </c>
      <c r="M262" t="s">
        <v>54</v>
      </c>
      <c r="N262">
        <v>3</v>
      </c>
      <c r="O262">
        <v>-2</v>
      </c>
      <c r="P262">
        <v>0</v>
      </c>
      <c r="Q262">
        <v>27</v>
      </c>
      <c r="R262">
        <v>0</v>
      </c>
      <c r="T262">
        <v>0</v>
      </c>
      <c r="U262">
        <v>1</v>
      </c>
      <c r="V262">
        <v>1410</v>
      </c>
      <c r="W262">
        <v>3</v>
      </c>
      <c r="X262" t="s">
        <v>65</v>
      </c>
      <c r="Y262">
        <v>1</v>
      </c>
      <c r="Z262">
        <v>4</v>
      </c>
      <c r="AA262">
        <v>71</v>
      </c>
      <c r="AB262">
        <v>4</v>
      </c>
      <c r="AC262">
        <v>2</v>
      </c>
      <c r="AD262">
        <v>4</v>
      </c>
      <c r="AE262">
        <v>4647</v>
      </c>
      <c r="AF262">
        <v>16673</v>
      </c>
      <c r="AG262">
        <v>1</v>
      </c>
      <c r="AH262">
        <v>20</v>
      </c>
      <c r="AI262">
        <v>4</v>
      </c>
      <c r="AJ262">
        <v>2</v>
      </c>
      <c r="AK262">
        <v>80</v>
      </c>
      <c r="AL262">
        <v>2</v>
      </c>
      <c r="AM262">
        <v>6</v>
      </c>
      <c r="AN262">
        <v>3</v>
      </c>
      <c r="AO262">
        <v>6</v>
      </c>
      <c r="AP262">
        <v>5</v>
      </c>
      <c r="AQ262">
        <v>0</v>
      </c>
      <c r="AR262">
        <v>4</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58</v>
      </c>
      <c r="D264" t="s">
        <v>59</v>
      </c>
      <c r="E264" t="s">
        <v>48</v>
      </c>
      <c r="F264" t="s">
        <v>106</v>
      </c>
      <c r="G264" t="s">
        <v>604</v>
      </c>
      <c r="H264">
        <v>712</v>
      </c>
      <c r="I264" t="s">
        <v>62</v>
      </c>
      <c r="J264" t="s">
        <v>52</v>
      </c>
      <c r="K264" t="s">
        <v>64</v>
      </c>
      <c r="L264" t="s">
        <v>56</v>
      </c>
      <c r="M264" t="s">
        <v>54</v>
      </c>
      <c r="N264">
        <v>3</v>
      </c>
      <c r="O264">
        <v>-2</v>
      </c>
      <c r="P264">
        <v>0</v>
      </c>
      <c r="Q264">
        <v>48</v>
      </c>
      <c r="R264">
        <v>0</v>
      </c>
      <c r="T264">
        <v>0</v>
      </c>
      <c r="U264">
        <v>1</v>
      </c>
      <c r="V264">
        <v>817</v>
      </c>
      <c r="W264">
        <v>2</v>
      </c>
      <c r="X264" t="s">
        <v>65</v>
      </c>
      <c r="Y264">
        <v>1</v>
      </c>
      <c r="Z264">
        <v>2</v>
      </c>
      <c r="AA264">
        <v>56</v>
      </c>
      <c r="AB264">
        <v>4</v>
      </c>
      <c r="AC264">
        <v>2</v>
      </c>
      <c r="AD264">
        <v>1</v>
      </c>
      <c r="AE264">
        <v>8120</v>
      </c>
      <c r="AF264">
        <v>18597</v>
      </c>
      <c r="AG264">
        <v>3</v>
      </c>
      <c r="AH264">
        <v>12</v>
      </c>
      <c r="AI264">
        <v>3</v>
      </c>
      <c r="AJ264">
        <v>4</v>
      </c>
      <c r="AK264">
        <v>80</v>
      </c>
      <c r="AL264">
        <v>0</v>
      </c>
      <c r="AM264">
        <v>12</v>
      </c>
      <c r="AN264">
        <v>3</v>
      </c>
      <c r="AO264">
        <v>2</v>
      </c>
      <c r="AP264">
        <v>2</v>
      </c>
      <c r="AQ264">
        <v>2</v>
      </c>
      <c r="AR264">
        <v>2</v>
      </c>
    </row>
    <row r="265" spans="1:44" x14ac:dyDescent="0.35">
      <c r="A265" t="s">
        <v>56</v>
      </c>
      <c r="B265" t="s">
        <v>45</v>
      </c>
      <c r="C265" t="s">
        <v>46</v>
      </c>
      <c r="D265" t="s">
        <v>59</v>
      </c>
      <c r="E265" t="s">
        <v>48</v>
      </c>
      <c r="F265" t="s">
        <v>106</v>
      </c>
      <c r="G265" t="s">
        <v>602</v>
      </c>
      <c r="H265">
        <v>709</v>
      </c>
      <c r="I265" t="s">
        <v>51</v>
      </c>
      <c r="J265" t="s">
        <v>52</v>
      </c>
      <c r="K265" t="s">
        <v>53</v>
      </c>
      <c r="L265" t="s">
        <v>56</v>
      </c>
      <c r="M265" t="s">
        <v>54</v>
      </c>
      <c r="N265">
        <v>2</v>
      </c>
      <c r="O265">
        <v>-2</v>
      </c>
      <c r="P265">
        <v>0</v>
      </c>
      <c r="Q265">
        <v>38</v>
      </c>
      <c r="R265">
        <v>0</v>
      </c>
      <c r="T265">
        <v>0</v>
      </c>
      <c r="U265">
        <v>1</v>
      </c>
      <c r="V265">
        <v>243</v>
      </c>
      <c r="W265">
        <v>7</v>
      </c>
      <c r="X265" t="s">
        <v>71</v>
      </c>
      <c r="Y265">
        <v>1</v>
      </c>
      <c r="Z265">
        <v>4</v>
      </c>
      <c r="AA265">
        <v>46</v>
      </c>
      <c r="AB265">
        <v>2</v>
      </c>
      <c r="AC265">
        <v>2</v>
      </c>
      <c r="AD265">
        <v>1</v>
      </c>
      <c r="AE265">
        <v>4028</v>
      </c>
      <c r="AF265">
        <v>7791</v>
      </c>
      <c r="AG265">
        <v>0</v>
      </c>
      <c r="AH265">
        <v>20</v>
      </c>
      <c r="AI265">
        <v>4</v>
      </c>
      <c r="AJ265">
        <v>1</v>
      </c>
      <c r="AK265">
        <v>80</v>
      </c>
      <c r="AL265">
        <v>0</v>
      </c>
      <c r="AM265">
        <v>8</v>
      </c>
      <c r="AN265">
        <v>3</v>
      </c>
      <c r="AO265">
        <v>7</v>
      </c>
      <c r="AP265">
        <v>7</v>
      </c>
      <c r="AQ265">
        <v>0</v>
      </c>
      <c r="AR265">
        <v>5</v>
      </c>
    </row>
    <row r="266" spans="1:44" x14ac:dyDescent="0.35">
      <c r="A266" t="s">
        <v>56</v>
      </c>
      <c r="B266" t="s">
        <v>45</v>
      </c>
      <c r="C266" t="s">
        <v>69</v>
      </c>
      <c r="D266" t="s">
        <v>59</v>
      </c>
      <c r="E266" t="s">
        <v>48</v>
      </c>
      <c r="F266" t="s">
        <v>49</v>
      </c>
      <c r="G266" t="s">
        <v>601</v>
      </c>
      <c r="H266">
        <v>707</v>
      </c>
      <c r="I266" t="s">
        <v>62</v>
      </c>
      <c r="J266" t="s">
        <v>52</v>
      </c>
      <c r="K266" t="s">
        <v>64</v>
      </c>
      <c r="L266" t="s">
        <v>56</v>
      </c>
      <c r="M266" t="s">
        <v>54</v>
      </c>
      <c r="N266">
        <v>4</v>
      </c>
      <c r="O266">
        <v>-2</v>
      </c>
      <c r="P266">
        <v>0</v>
      </c>
      <c r="Q266">
        <v>25</v>
      </c>
      <c r="R266">
        <v>0</v>
      </c>
      <c r="T266">
        <v>0</v>
      </c>
      <c r="U266">
        <v>1</v>
      </c>
      <c r="V266">
        <v>810</v>
      </c>
      <c r="W266">
        <v>8</v>
      </c>
      <c r="X266" t="s">
        <v>77</v>
      </c>
      <c r="Y266">
        <v>1</v>
      </c>
      <c r="Z266">
        <v>4</v>
      </c>
      <c r="AA266">
        <v>57</v>
      </c>
      <c r="AB266">
        <v>4</v>
      </c>
      <c r="AC266">
        <v>2</v>
      </c>
      <c r="AD266">
        <v>2</v>
      </c>
      <c r="AE266">
        <v>4851</v>
      </c>
      <c r="AF266">
        <v>15678</v>
      </c>
      <c r="AG266">
        <v>0</v>
      </c>
      <c r="AH266">
        <v>22</v>
      </c>
      <c r="AI266">
        <v>4</v>
      </c>
      <c r="AJ266">
        <v>3</v>
      </c>
      <c r="AK266">
        <v>80</v>
      </c>
      <c r="AL266">
        <v>1</v>
      </c>
      <c r="AM266">
        <v>4</v>
      </c>
      <c r="AN266">
        <v>3</v>
      </c>
      <c r="AO266">
        <v>3</v>
      </c>
      <c r="AP266">
        <v>2</v>
      </c>
      <c r="AQ266">
        <v>1</v>
      </c>
      <c r="AR266">
        <v>2</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48</v>
      </c>
      <c r="F268" t="s">
        <v>72</v>
      </c>
      <c r="G268" t="s">
        <v>591</v>
      </c>
      <c r="H268">
        <v>690</v>
      </c>
      <c r="I268" t="s">
        <v>51</v>
      </c>
      <c r="J268" t="s">
        <v>52</v>
      </c>
      <c r="K268" t="s">
        <v>64</v>
      </c>
      <c r="L268" t="s">
        <v>56</v>
      </c>
      <c r="M268" t="s">
        <v>54</v>
      </c>
      <c r="N268">
        <v>5</v>
      </c>
      <c r="O268">
        <v>-2</v>
      </c>
      <c r="P268">
        <v>0</v>
      </c>
      <c r="Q268">
        <v>29</v>
      </c>
      <c r="R268">
        <v>0</v>
      </c>
      <c r="T268">
        <v>0</v>
      </c>
      <c r="U268">
        <v>1</v>
      </c>
      <c r="V268">
        <v>1176</v>
      </c>
      <c r="W268">
        <v>3</v>
      </c>
      <c r="X268" t="s">
        <v>55</v>
      </c>
      <c r="Y268">
        <v>1</v>
      </c>
      <c r="Z268">
        <v>2</v>
      </c>
      <c r="AA268">
        <v>62</v>
      </c>
      <c r="AB268">
        <v>3</v>
      </c>
      <c r="AC268">
        <v>2</v>
      </c>
      <c r="AD268">
        <v>3</v>
      </c>
      <c r="AE268">
        <v>5561</v>
      </c>
      <c r="AF268">
        <v>3487</v>
      </c>
      <c r="AG268">
        <v>1</v>
      </c>
      <c r="AH268">
        <v>14</v>
      </c>
      <c r="AI268">
        <v>3</v>
      </c>
      <c r="AJ268">
        <v>1</v>
      </c>
      <c r="AK268">
        <v>80</v>
      </c>
      <c r="AL268">
        <v>1</v>
      </c>
      <c r="AM268">
        <v>6</v>
      </c>
      <c r="AN268">
        <v>2</v>
      </c>
      <c r="AO268">
        <v>6</v>
      </c>
      <c r="AP268">
        <v>0</v>
      </c>
      <c r="AQ268">
        <v>1</v>
      </c>
      <c r="AR268">
        <v>2</v>
      </c>
    </row>
    <row r="269" spans="1:44" x14ac:dyDescent="0.35">
      <c r="A269" t="s">
        <v>44</v>
      </c>
      <c r="B269" t="s">
        <v>57</v>
      </c>
      <c r="C269" t="s">
        <v>58</v>
      </c>
      <c r="D269" t="s">
        <v>47</v>
      </c>
      <c r="E269" t="s">
        <v>48</v>
      </c>
      <c r="F269" t="s">
        <v>49</v>
      </c>
      <c r="G269" t="s">
        <v>588</v>
      </c>
      <c r="H269">
        <v>684</v>
      </c>
      <c r="I269" t="s">
        <v>51</v>
      </c>
      <c r="J269" t="s">
        <v>52</v>
      </c>
      <c r="K269" t="s">
        <v>64</v>
      </c>
      <c r="L269" t="s">
        <v>56</v>
      </c>
      <c r="M269" t="s">
        <v>54</v>
      </c>
      <c r="N269">
        <v>4</v>
      </c>
      <c r="O269">
        <v>-2</v>
      </c>
      <c r="P269">
        <v>0</v>
      </c>
      <c r="Q269">
        <v>45</v>
      </c>
      <c r="R269">
        <v>1</v>
      </c>
      <c r="S269">
        <v>1</v>
      </c>
      <c r="T269">
        <v>1</v>
      </c>
      <c r="U269">
        <v>0</v>
      </c>
      <c r="V269">
        <v>306</v>
      </c>
      <c r="W269">
        <v>26</v>
      </c>
      <c r="X269" t="s">
        <v>71</v>
      </c>
      <c r="Y269">
        <v>1</v>
      </c>
      <c r="Z269">
        <v>1</v>
      </c>
      <c r="AA269">
        <v>100</v>
      </c>
      <c r="AB269">
        <v>3</v>
      </c>
      <c r="AC269">
        <v>2</v>
      </c>
      <c r="AD269">
        <v>2</v>
      </c>
      <c r="AE269">
        <v>4286</v>
      </c>
      <c r="AF269">
        <v>5630</v>
      </c>
      <c r="AG269">
        <v>2</v>
      </c>
      <c r="AH269">
        <v>14</v>
      </c>
      <c r="AI269">
        <v>3</v>
      </c>
      <c r="AJ269">
        <v>4</v>
      </c>
      <c r="AK269">
        <v>80</v>
      </c>
      <c r="AL269">
        <v>2</v>
      </c>
      <c r="AM269">
        <v>5</v>
      </c>
      <c r="AN269">
        <v>3</v>
      </c>
      <c r="AO269">
        <v>1</v>
      </c>
      <c r="AP269">
        <v>1</v>
      </c>
      <c r="AQ269">
        <v>0</v>
      </c>
      <c r="AR269">
        <v>0</v>
      </c>
    </row>
    <row r="270" spans="1:44" x14ac:dyDescent="0.35">
      <c r="A270" t="s">
        <v>56</v>
      </c>
      <c r="B270" t="s">
        <v>45</v>
      </c>
      <c r="C270" t="s">
        <v>58</v>
      </c>
      <c r="D270" t="s">
        <v>59</v>
      </c>
      <c r="E270" t="s">
        <v>48</v>
      </c>
      <c r="F270" t="s">
        <v>72</v>
      </c>
      <c r="G270" t="s">
        <v>586</v>
      </c>
      <c r="H270">
        <v>682</v>
      </c>
      <c r="I270" t="s">
        <v>51</v>
      </c>
      <c r="J270" t="s">
        <v>52</v>
      </c>
      <c r="K270" t="s">
        <v>53</v>
      </c>
      <c r="L270" t="s">
        <v>56</v>
      </c>
      <c r="M270" t="s">
        <v>54</v>
      </c>
      <c r="N270">
        <v>2</v>
      </c>
      <c r="O270">
        <v>-2</v>
      </c>
      <c r="P270">
        <v>0</v>
      </c>
      <c r="Q270">
        <v>53</v>
      </c>
      <c r="R270">
        <v>0</v>
      </c>
      <c r="T270">
        <v>0</v>
      </c>
      <c r="U270">
        <v>1</v>
      </c>
      <c r="V270">
        <v>238</v>
      </c>
      <c r="W270">
        <v>1</v>
      </c>
      <c r="X270" t="s">
        <v>65</v>
      </c>
      <c r="Y270">
        <v>1</v>
      </c>
      <c r="Z270">
        <v>4</v>
      </c>
      <c r="AA270">
        <v>34</v>
      </c>
      <c r="AB270">
        <v>3</v>
      </c>
      <c r="AC270">
        <v>2</v>
      </c>
      <c r="AD270">
        <v>3</v>
      </c>
      <c r="AE270">
        <v>8381</v>
      </c>
      <c r="AF270">
        <v>7507</v>
      </c>
      <c r="AG270">
        <v>7</v>
      </c>
      <c r="AH270">
        <v>20</v>
      </c>
      <c r="AI270">
        <v>4</v>
      </c>
      <c r="AJ270">
        <v>4</v>
      </c>
      <c r="AK270">
        <v>80</v>
      </c>
      <c r="AL270">
        <v>0</v>
      </c>
      <c r="AM270">
        <v>18</v>
      </c>
      <c r="AN270">
        <v>4</v>
      </c>
      <c r="AO270">
        <v>14</v>
      </c>
      <c r="AP270">
        <v>7</v>
      </c>
      <c r="AQ270">
        <v>8</v>
      </c>
      <c r="AR270">
        <v>10</v>
      </c>
    </row>
    <row r="271" spans="1:44" x14ac:dyDescent="0.35">
      <c r="A271" t="s">
        <v>56</v>
      </c>
      <c r="B271" t="s">
        <v>45</v>
      </c>
      <c r="C271" t="s">
        <v>69</v>
      </c>
      <c r="D271" t="s">
        <v>59</v>
      </c>
      <c r="E271" t="s">
        <v>48</v>
      </c>
      <c r="F271" t="s">
        <v>106</v>
      </c>
      <c r="G271" t="s">
        <v>583</v>
      </c>
      <c r="H271">
        <v>677</v>
      </c>
      <c r="I271" t="s">
        <v>62</v>
      </c>
      <c r="J271" t="s">
        <v>52</v>
      </c>
      <c r="K271" t="s">
        <v>79</v>
      </c>
      <c r="L271" t="s">
        <v>56</v>
      </c>
      <c r="M271" t="s">
        <v>54</v>
      </c>
      <c r="N271">
        <v>3</v>
      </c>
      <c r="O271">
        <v>-2</v>
      </c>
      <c r="P271">
        <v>0</v>
      </c>
      <c r="Q271">
        <v>33</v>
      </c>
      <c r="R271">
        <v>0</v>
      </c>
      <c r="T271">
        <v>0</v>
      </c>
      <c r="U271">
        <v>1</v>
      </c>
      <c r="V271">
        <v>1216</v>
      </c>
      <c r="W271">
        <v>8</v>
      </c>
      <c r="X271" t="s">
        <v>71</v>
      </c>
      <c r="Y271">
        <v>1</v>
      </c>
      <c r="Z271">
        <v>3</v>
      </c>
      <c r="AA271">
        <v>39</v>
      </c>
      <c r="AB271">
        <v>3</v>
      </c>
      <c r="AC271">
        <v>2</v>
      </c>
      <c r="AD271">
        <v>1</v>
      </c>
      <c r="AE271">
        <v>7104</v>
      </c>
      <c r="AF271">
        <v>20431</v>
      </c>
      <c r="AG271">
        <v>0</v>
      </c>
      <c r="AH271">
        <v>12</v>
      </c>
      <c r="AI271">
        <v>3</v>
      </c>
      <c r="AJ271">
        <v>4</v>
      </c>
      <c r="AK271">
        <v>80</v>
      </c>
      <c r="AL271">
        <v>0</v>
      </c>
      <c r="AM271">
        <v>6</v>
      </c>
      <c r="AN271">
        <v>3</v>
      </c>
      <c r="AO271">
        <v>5</v>
      </c>
      <c r="AP271">
        <v>0</v>
      </c>
      <c r="AQ271">
        <v>1</v>
      </c>
      <c r="AR271">
        <v>2</v>
      </c>
    </row>
    <row r="272" spans="1:44" x14ac:dyDescent="0.35">
      <c r="A272" t="s">
        <v>56</v>
      </c>
      <c r="B272" t="s">
        <v>45</v>
      </c>
      <c r="C272" t="s">
        <v>46</v>
      </c>
      <c r="D272" t="s">
        <v>59</v>
      </c>
      <c r="E272" t="s">
        <v>48</v>
      </c>
      <c r="F272" t="s">
        <v>106</v>
      </c>
      <c r="G272" t="s">
        <v>570</v>
      </c>
      <c r="H272">
        <v>656</v>
      </c>
      <c r="I272" t="s">
        <v>62</v>
      </c>
      <c r="J272" t="s">
        <v>52</v>
      </c>
      <c r="K272" t="s">
        <v>64</v>
      </c>
      <c r="L272" t="s">
        <v>44</v>
      </c>
      <c r="M272" t="s">
        <v>54</v>
      </c>
      <c r="N272">
        <v>3</v>
      </c>
      <c r="O272">
        <v>-2</v>
      </c>
      <c r="P272">
        <v>0</v>
      </c>
      <c r="Q272">
        <v>37</v>
      </c>
      <c r="R272">
        <v>0</v>
      </c>
      <c r="T272">
        <v>0</v>
      </c>
      <c r="U272">
        <v>1</v>
      </c>
      <c r="V272">
        <v>558</v>
      </c>
      <c r="W272">
        <v>2</v>
      </c>
      <c r="X272" t="s">
        <v>77</v>
      </c>
      <c r="Y272">
        <v>1</v>
      </c>
      <c r="Z272">
        <v>4</v>
      </c>
      <c r="AA272">
        <v>75</v>
      </c>
      <c r="AB272">
        <v>3</v>
      </c>
      <c r="AC272">
        <v>2</v>
      </c>
      <c r="AD272">
        <v>1</v>
      </c>
      <c r="AE272">
        <v>9602</v>
      </c>
      <c r="AF272">
        <v>3010</v>
      </c>
      <c r="AG272">
        <v>4</v>
      </c>
      <c r="AH272">
        <v>11</v>
      </c>
      <c r="AI272">
        <v>3</v>
      </c>
      <c r="AJ272">
        <v>3</v>
      </c>
      <c r="AK272">
        <v>80</v>
      </c>
      <c r="AL272">
        <v>1</v>
      </c>
      <c r="AM272">
        <v>17</v>
      </c>
      <c r="AN272">
        <v>2</v>
      </c>
      <c r="AO272">
        <v>3</v>
      </c>
      <c r="AP272">
        <v>0</v>
      </c>
      <c r="AQ272">
        <v>1</v>
      </c>
      <c r="AR272">
        <v>0</v>
      </c>
    </row>
    <row r="273" spans="1:44" x14ac:dyDescent="0.35">
      <c r="A273" t="s">
        <v>56</v>
      </c>
      <c r="B273" t="s">
        <v>45</v>
      </c>
      <c r="C273" t="s">
        <v>69</v>
      </c>
      <c r="D273" t="s">
        <v>59</v>
      </c>
      <c r="E273" t="s">
        <v>48</v>
      </c>
      <c r="F273" t="s">
        <v>72</v>
      </c>
      <c r="G273" t="s">
        <v>568</v>
      </c>
      <c r="H273">
        <v>653</v>
      </c>
      <c r="I273" t="s">
        <v>62</v>
      </c>
      <c r="J273" t="s">
        <v>52</v>
      </c>
      <c r="K273" t="s">
        <v>79</v>
      </c>
      <c r="L273" t="s">
        <v>56</v>
      </c>
      <c r="M273" t="s">
        <v>54</v>
      </c>
      <c r="N273">
        <v>4</v>
      </c>
      <c r="O273">
        <v>-2</v>
      </c>
      <c r="P273">
        <v>0</v>
      </c>
      <c r="Q273">
        <v>31</v>
      </c>
      <c r="R273">
        <v>0</v>
      </c>
      <c r="T273">
        <v>0</v>
      </c>
      <c r="U273">
        <v>1</v>
      </c>
      <c r="V273">
        <v>525</v>
      </c>
      <c r="W273">
        <v>6</v>
      </c>
      <c r="X273" t="s">
        <v>71</v>
      </c>
      <c r="Y273">
        <v>1</v>
      </c>
      <c r="Z273">
        <v>1</v>
      </c>
      <c r="AA273">
        <v>66</v>
      </c>
      <c r="AB273">
        <v>4</v>
      </c>
      <c r="AC273">
        <v>2</v>
      </c>
      <c r="AD273">
        <v>4</v>
      </c>
      <c r="AE273">
        <v>5460</v>
      </c>
      <c r="AF273">
        <v>6219</v>
      </c>
      <c r="AG273">
        <v>4</v>
      </c>
      <c r="AH273">
        <v>22</v>
      </c>
      <c r="AI273">
        <v>4</v>
      </c>
      <c r="AJ273">
        <v>4</v>
      </c>
      <c r="AK273">
        <v>80</v>
      </c>
      <c r="AL273">
        <v>2</v>
      </c>
      <c r="AM273">
        <v>13</v>
      </c>
      <c r="AN273">
        <v>4</v>
      </c>
      <c r="AO273">
        <v>7</v>
      </c>
      <c r="AP273">
        <v>7</v>
      </c>
      <c r="AQ273">
        <v>5</v>
      </c>
      <c r="AR273">
        <v>7</v>
      </c>
    </row>
    <row r="274" spans="1:44" x14ac:dyDescent="0.35">
      <c r="A274" t="s">
        <v>44</v>
      </c>
      <c r="B274" t="s">
        <v>45</v>
      </c>
      <c r="C274" t="s">
        <v>69</v>
      </c>
      <c r="D274" t="s">
        <v>47</v>
      </c>
      <c r="E274" t="s">
        <v>48</v>
      </c>
      <c r="F274" t="s">
        <v>72</v>
      </c>
      <c r="G274" t="s">
        <v>566</v>
      </c>
      <c r="H274">
        <v>650</v>
      </c>
      <c r="I274" t="s">
        <v>62</v>
      </c>
      <c r="J274" t="s">
        <v>52</v>
      </c>
      <c r="K274" t="s">
        <v>79</v>
      </c>
      <c r="L274" t="s">
        <v>56</v>
      </c>
      <c r="M274" t="s">
        <v>54</v>
      </c>
      <c r="N274">
        <v>2</v>
      </c>
      <c r="O274">
        <v>-2</v>
      </c>
      <c r="P274">
        <v>0</v>
      </c>
      <c r="Q274">
        <v>31</v>
      </c>
      <c r="R274">
        <v>1</v>
      </c>
      <c r="S274">
        <v>1</v>
      </c>
      <c r="T274">
        <v>1</v>
      </c>
      <c r="U274">
        <v>0</v>
      </c>
      <c r="V274">
        <v>1365</v>
      </c>
      <c r="W274">
        <v>13</v>
      </c>
      <c r="X274" t="s">
        <v>71</v>
      </c>
      <c r="Y274">
        <v>1</v>
      </c>
      <c r="Z274">
        <v>2</v>
      </c>
      <c r="AA274">
        <v>46</v>
      </c>
      <c r="AB274">
        <v>3</v>
      </c>
      <c r="AC274">
        <v>2</v>
      </c>
      <c r="AD274">
        <v>3</v>
      </c>
      <c r="AE274">
        <v>4233</v>
      </c>
      <c r="AF274">
        <v>11512</v>
      </c>
      <c r="AG274">
        <v>2</v>
      </c>
      <c r="AH274">
        <v>17</v>
      </c>
      <c r="AI274">
        <v>3</v>
      </c>
      <c r="AJ274">
        <v>3</v>
      </c>
      <c r="AK274">
        <v>80</v>
      </c>
      <c r="AL274">
        <v>0</v>
      </c>
      <c r="AM274">
        <v>9</v>
      </c>
      <c r="AN274">
        <v>1</v>
      </c>
      <c r="AO274">
        <v>3</v>
      </c>
      <c r="AP274">
        <v>1</v>
      </c>
      <c r="AQ274">
        <v>1</v>
      </c>
      <c r="AR274">
        <v>2</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69</v>
      </c>
      <c r="D276" t="s">
        <v>59</v>
      </c>
      <c r="E276" t="s">
        <v>48</v>
      </c>
      <c r="F276" t="s">
        <v>106</v>
      </c>
      <c r="G276" t="s">
        <v>559</v>
      </c>
      <c r="H276">
        <v>641</v>
      </c>
      <c r="I276" t="s">
        <v>62</v>
      </c>
      <c r="J276" t="s">
        <v>52</v>
      </c>
      <c r="K276" t="s">
        <v>64</v>
      </c>
      <c r="L276" t="s">
        <v>56</v>
      </c>
      <c r="M276" t="s">
        <v>54</v>
      </c>
      <c r="N276">
        <v>5</v>
      </c>
      <c r="O276">
        <v>-2</v>
      </c>
      <c r="P276">
        <v>0</v>
      </c>
      <c r="Q276">
        <v>26</v>
      </c>
      <c r="R276">
        <v>0</v>
      </c>
      <c r="T276">
        <v>0</v>
      </c>
      <c r="U276">
        <v>1</v>
      </c>
      <c r="V276">
        <v>703</v>
      </c>
      <c r="W276">
        <v>28</v>
      </c>
      <c r="X276" t="s">
        <v>55</v>
      </c>
      <c r="Y276">
        <v>1</v>
      </c>
      <c r="Z276">
        <v>1</v>
      </c>
      <c r="AA276">
        <v>66</v>
      </c>
      <c r="AB276">
        <v>3</v>
      </c>
      <c r="AC276">
        <v>2</v>
      </c>
      <c r="AD276">
        <v>1</v>
      </c>
      <c r="AE276">
        <v>6272</v>
      </c>
      <c r="AF276">
        <v>7428</v>
      </c>
      <c r="AG276">
        <v>1</v>
      </c>
      <c r="AH276">
        <v>20</v>
      </c>
      <c r="AI276">
        <v>4</v>
      </c>
      <c r="AJ276">
        <v>4</v>
      </c>
      <c r="AK276">
        <v>80</v>
      </c>
      <c r="AL276">
        <v>2</v>
      </c>
      <c r="AM276">
        <v>6</v>
      </c>
      <c r="AN276">
        <v>4</v>
      </c>
      <c r="AO276">
        <v>5</v>
      </c>
      <c r="AP276">
        <v>3</v>
      </c>
      <c r="AQ276">
        <v>1</v>
      </c>
      <c r="AR276">
        <v>4</v>
      </c>
    </row>
    <row r="277" spans="1:44" x14ac:dyDescent="0.35">
      <c r="A277" t="s">
        <v>44</v>
      </c>
      <c r="B277" t="s">
        <v>91</v>
      </c>
      <c r="C277" t="s">
        <v>69</v>
      </c>
      <c r="D277" t="s">
        <v>47</v>
      </c>
      <c r="E277" t="s">
        <v>48</v>
      </c>
      <c r="F277" t="s">
        <v>66</v>
      </c>
      <c r="G277" t="s">
        <v>553</v>
      </c>
      <c r="H277">
        <v>631</v>
      </c>
      <c r="I277" t="s">
        <v>62</v>
      </c>
      <c r="J277" t="s">
        <v>52</v>
      </c>
      <c r="K277" t="s">
        <v>64</v>
      </c>
      <c r="L277" t="s">
        <v>56</v>
      </c>
      <c r="M277" t="s">
        <v>54</v>
      </c>
      <c r="N277">
        <v>2</v>
      </c>
      <c r="O277">
        <v>-2</v>
      </c>
      <c r="P277">
        <v>0</v>
      </c>
      <c r="Q277">
        <v>32</v>
      </c>
      <c r="R277">
        <v>1</v>
      </c>
      <c r="S277">
        <v>1</v>
      </c>
      <c r="T277">
        <v>1</v>
      </c>
      <c r="U277">
        <v>0</v>
      </c>
      <c r="V277">
        <v>1474</v>
      </c>
      <c r="W277">
        <v>11</v>
      </c>
      <c r="X277" t="s">
        <v>71</v>
      </c>
      <c r="Y277">
        <v>1</v>
      </c>
      <c r="Z277">
        <v>4</v>
      </c>
      <c r="AA277">
        <v>60</v>
      </c>
      <c r="AB277">
        <v>4</v>
      </c>
      <c r="AC277">
        <v>2</v>
      </c>
      <c r="AD277">
        <v>3</v>
      </c>
      <c r="AE277">
        <v>4707</v>
      </c>
      <c r="AF277">
        <v>23914</v>
      </c>
      <c r="AG277">
        <v>8</v>
      </c>
      <c r="AH277">
        <v>12</v>
      </c>
      <c r="AI277">
        <v>3</v>
      </c>
      <c r="AJ277">
        <v>4</v>
      </c>
      <c r="AK277">
        <v>80</v>
      </c>
      <c r="AL277">
        <v>0</v>
      </c>
      <c r="AM277">
        <v>6</v>
      </c>
      <c r="AN277">
        <v>3</v>
      </c>
      <c r="AO277">
        <v>4</v>
      </c>
      <c r="AP277">
        <v>2</v>
      </c>
      <c r="AQ277">
        <v>1</v>
      </c>
      <c r="AR277">
        <v>2</v>
      </c>
    </row>
    <row r="278" spans="1:44" x14ac:dyDescent="0.35">
      <c r="A278" t="s">
        <v>56</v>
      </c>
      <c r="B278" t="s">
        <v>91</v>
      </c>
      <c r="C278" t="s">
        <v>46</v>
      </c>
      <c r="D278" t="s">
        <v>59</v>
      </c>
      <c r="E278" t="s">
        <v>48</v>
      </c>
      <c r="F278" t="s">
        <v>72</v>
      </c>
      <c r="G278" t="s">
        <v>551</v>
      </c>
      <c r="H278">
        <v>626</v>
      </c>
      <c r="I278" t="s">
        <v>62</v>
      </c>
      <c r="J278" t="s">
        <v>52</v>
      </c>
      <c r="K278" t="s">
        <v>79</v>
      </c>
      <c r="L278" t="s">
        <v>56</v>
      </c>
      <c r="M278" t="s">
        <v>54</v>
      </c>
      <c r="N278">
        <v>6</v>
      </c>
      <c r="O278">
        <v>-2</v>
      </c>
      <c r="P278">
        <v>0</v>
      </c>
      <c r="Q278">
        <v>37</v>
      </c>
      <c r="R278">
        <v>0</v>
      </c>
      <c r="T278">
        <v>0</v>
      </c>
      <c r="U278">
        <v>1</v>
      </c>
      <c r="V278">
        <v>142</v>
      </c>
      <c r="W278">
        <v>9</v>
      </c>
      <c r="X278" t="s">
        <v>71</v>
      </c>
      <c r="Y278">
        <v>1</v>
      </c>
      <c r="Z278">
        <v>1</v>
      </c>
      <c r="AA278">
        <v>69</v>
      </c>
      <c r="AB278">
        <v>3</v>
      </c>
      <c r="AC278">
        <v>3</v>
      </c>
      <c r="AD278">
        <v>3</v>
      </c>
      <c r="AE278">
        <v>8834</v>
      </c>
      <c r="AF278">
        <v>24666</v>
      </c>
      <c r="AG278">
        <v>1</v>
      </c>
      <c r="AH278">
        <v>13</v>
      </c>
      <c r="AI278">
        <v>3</v>
      </c>
      <c r="AJ278">
        <v>4</v>
      </c>
      <c r="AK278">
        <v>80</v>
      </c>
      <c r="AL278">
        <v>1</v>
      </c>
      <c r="AM278">
        <v>9</v>
      </c>
      <c r="AN278">
        <v>3</v>
      </c>
      <c r="AO278">
        <v>9</v>
      </c>
      <c r="AP278">
        <v>5</v>
      </c>
      <c r="AQ278">
        <v>7</v>
      </c>
      <c r="AR278">
        <v>7</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45</v>
      </c>
      <c r="C280" t="s">
        <v>69</v>
      </c>
      <c r="D280" t="s">
        <v>59</v>
      </c>
      <c r="E280" t="s">
        <v>48</v>
      </c>
      <c r="F280" t="s">
        <v>49</v>
      </c>
      <c r="G280" t="s">
        <v>546</v>
      </c>
      <c r="H280">
        <v>621</v>
      </c>
      <c r="I280" t="s">
        <v>62</v>
      </c>
      <c r="J280" t="s">
        <v>52</v>
      </c>
      <c r="K280" t="s">
        <v>53</v>
      </c>
      <c r="L280" t="s">
        <v>56</v>
      </c>
      <c r="M280" t="s">
        <v>54</v>
      </c>
      <c r="N280">
        <v>3</v>
      </c>
      <c r="O280">
        <v>-2</v>
      </c>
      <c r="P280">
        <v>0</v>
      </c>
      <c r="Q280">
        <v>34</v>
      </c>
      <c r="R280">
        <v>0</v>
      </c>
      <c r="T280">
        <v>0</v>
      </c>
      <c r="U280">
        <v>1</v>
      </c>
      <c r="V280">
        <v>258</v>
      </c>
      <c r="W280">
        <v>21</v>
      </c>
      <c r="X280" t="s">
        <v>71</v>
      </c>
      <c r="Y280">
        <v>1</v>
      </c>
      <c r="Z280">
        <v>4</v>
      </c>
      <c r="AA280">
        <v>74</v>
      </c>
      <c r="AB280">
        <v>4</v>
      </c>
      <c r="AC280">
        <v>2</v>
      </c>
      <c r="AD280">
        <v>2</v>
      </c>
      <c r="AE280">
        <v>5337</v>
      </c>
      <c r="AF280">
        <v>19921</v>
      </c>
      <c r="AG280">
        <v>1</v>
      </c>
      <c r="AH280">
        <v>12</v>
      </c>
      <c r="AI280">
        <v>3</v>
      </c>
      <c r="AJ280">
        <v>4</v>
      </c>
      <c r="AK280">
        <v>80</v>
      </c>
      <c r="AL280">
        <v>0</v>
      </c>
      <c r="AM280">
        <v>10</v>
      </c>
      <c r="AN280">
        <v>3</v>
      </c>
      <c r="AO280">
        <v>10</v>
      </c>
      <c r="AP280">
        <v>7</v>
      </c>
      <c r="AQ280">
        <v>5</v>
      </c>
      <c r="AR280">
        <v>7</v>
      </c>
    </row>
    <row r="281" spans="1:44" x14ac:dyDescent="0.35">
      <c r="A281" t="s">
        <v>56</v>
      </c>
      <c r="B281" t="s">
        <v>45</v>
      </c>
      <c r="C281" t="s">
        <v>46</v>
      </c>
      <c r="D281" t="s">
        <v>59</v>
      </c>
      <c r="E281" t="s">
        <v>48</v>
      </c>
      <c r="F281" t="s">
        <v>72</v>
      </c>
      <c r="G281" t="s">
        <v>545</v>
      </c>
      <c r="H281">
        <v>620</v>
      </c>
      <c r="I281" t="s">
        <v>51</v>
      </c>
      <c r="J281" t="s">
        <v>52</v>
      </c>
      <c r="K281" t="s">
        <v>53</v>
      </c>
      <c r="L281" t="s">
        <v>56</v>
      </c>
      <c r="M281" t="s">
        <v>54</v>
      </c>
      <c r="N281">
        <v>3</v>
      </c>
      <c r="O281">
        <v>-2</v>
      </c>
      <c r="P281">
        <v>0</v>
      </c>
      <c r="Q281">
        <v>35</v>
      </c>
      <c r="R281">
        <v>0</v>
      </c>
      <c r="T281">
        <v>0</v>
      </c>
      <c r="U281">
        <v>1</v>
      </c>
      <c r="V281">
        <v>195</v>
      </c>
      <c r="W281">
        <v>1</v>
      </c>
      <c r="X281" t="s">
        <v>77</v>
      </c>
      <c r="Y281">
        <v>1</v>
      </c>
      <c r="Z281">
        <v>1</v>
      </c>
      <c r="AA281">
        <v>80</v>
      </c>
      <c r="AB281">
        <v>3</v>
      </c>
      <c r="AC281">
        <v>2</v>
      </c>
      <c r="AD281">
        <v>3</v>
      </c>
      <c r="AE281">
        <v>4859</v>
      </c>
      <c r="AF281">
        <v>6698</v>
      </c>
      <c r="AG281">
        <v>1</v>
      </c>
      <c r="AH281">
        <v>16</v>
      </c>
      <c r="AI281">
        <v>3</v>
      </c>
      <c r="AJ281">
        <v>4</v>
      </c>
      <c r="AK281">
        <v>80</v>
      </c>
      <c r="AL281">
        <v>0</v>
      </c>
      <c r="AM281">
        <v>5</v>
      </c>
      <c r="AN281">
        <v>3</v>
      </c>
      <c r="AO281">
        <v>5</v>
      </c>
      <c r="AP281">
        <v>4</v>
      </c>
      <c r="AQ281">
        <v>0</v>
      </c>
      <c r="AR281">
        <v>3</v>
      </c>
    </row>
    <row r="282" spans="1:44" x14ac:dyDescent="0.35">
      <c r="A282" t="s">
        <v>56</v>
      </c>
      <c r="B282" t="s">
        <v>45</v>
      </c>
      <c r="C282" t="s">
        <v>69</v>
      </c>
      <c r="D282" t="s">
        <v>59</v>
      </c>
      <c r="E282" t="s">
        <v>48</v>
      </c>
      <c r="F282" t="s">
        <v>72</v>
      </c>
      <c r="G282" t="s">
        <v>544</v>
      </c>
      <c r="H282">
        <v>618</v>
      </c>
      <c r="I282" t="s">
        <v>62</v>
      </c>
      <c r="J282" t="s">
        <v>52</v>
      </c>
      <c r="K282" t="s">
        <v>79</v>
      </c>
      <c r="L282" t="s">
        <v>56</v>
      </c>
      <c r="M282" t="s">
        <v>54</v>
      </c>
      <c r="N282">
        <v>5</v>
      </c>
      <c r="O282">
        <v>-2</v>
      </c>
      <c r="P282">
        <v>0</v>
      </c>
      <c r="Q282">
        <v>26</v>
      </c>
      <c r="R282">
        <v>0</v>
      </c>
      <c r="T282">
        <v>0</v>
      </c>
      <c r="U282">
        <v>1</v>
      </c>
      <c r="V282">
        <v>775</v>
      </c>
      <c r="W282">
        <v>29</v>
      </c>
      <c r="X282" t="s">
        <v>55</v>
      </c>
      <c r="Y282">
        <v>1</v>
      </c>
      <c r="Z282">
        <v>1</v>
      </c>
      <c r="AA282">
        <v>45</v>
      </c>
      <c r="AB282">
        <v>3</v>
      </c>
      <c r="AC282">
        <v>2</v>
      </c>
      <c r="AD282">
        <v>3</v>
      </c>
      <c r="AE282">
        <v>4306</v>
      </c>
      <c r="AF282">
        <v>4267</v>
      </c>
      <c r="AG282">
        <v>5</v>
      </c>
      <c r="AH282">
        <v>12</v>
      </c>
      <c r="AI282">
        <v>3</v>
      </c>
      <c r="AJ282">
        <v>1</v>
      </c>
      <c r="AK282">
        <v>80</v>
      </c>
      <c r="AL282">
        <v>2</v>
      </c>
      <c r="AM282">
        <v>8</v>
      </c>
      <c r="AN282">
        <v>3</v>
      </c>
      <c r="AO282">
        <v>0</v>
      </c>
      <c r="AP282">
        <v>0</v>
      </c>
      <c r="AQ282">
        <v>0</v>
      </c>
      <c r="AR282">
        <v>0</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91</v>
      </c>
      <c r="C285" t="s">
        <v>46</v>
      </c>
      <c r="D285" t="s">
        <v>59</v>
      </c>
      <c r="E285" t="s">
        <v>48</v>
      </c>
      <c r="F285" t="s">
        <v>66</v>
      </c>
      <c r="G285" t="s">
        <v>542</v>
      </c>
      <c r="H285">
        <v>615</v>
      </c>
      <c r="I285" t="s">
        <v>62</v>
      </c>
      <c r="J285" t="s">
        <v>52</v>
      </c>
      <c r="K285" t="s">
        <v>79</v>
      </c>
      <c r="L285" t="s">
        <v>56</v>
      </c>
      <c r="M285" t="s">
        <v>54</v>
      </c>
      <c r="N285">
        <v>2</v>
      </c>
      <c r="O285">
        <v>-2</v>
      </c>
      <c r="P285">
        <v>0</v>
      </c>
      <c r="Q285">
        <v>40</v>
      </c>
      <c r="R285">
        <v>0</v>
      </c>
      <c r="T285">
        <v>0</v>
      </c>
      <c r="U285">
        <v>1</v>
      </c>
      <c r="V285">
        <v>1094</v>
      </c>
      <c r="W285">
        <v>28</v>
      </c>
      <c r="X285" t="s">
        <v>77</v>
      </c>
      <c r="Y285">
        <v>1</v>
      </c>
      <c r="Z285">
        <v>3</v>
      </c>
      <c r="AA285">
        <v>58</v>
      </c>
      <c r="AB285">
        <v>1</v>
      </c>
      <c r="AC285">
        <v>3</v>
      </c>
      <c r="AD285">
        <v>3</v>
      </c>
      <c r="AE285">
        <v>10932</v>
      </c>
      <c r="AF285">
        <v>11373</v>
      </c>
      <c r="AG285">
        <v>3</v>
      </c>
      <c r="AH285">
        <v>15</v>
      </c>
      <c r="AI285">
        <v>3</v>
      </c>
      <c r="AJ285">
        <v>3</v>
      </c>
      <c r="AK285">
        <v>80</v>
      </c>
      <c r="AL285">
        <v>1</v>
      </c>
      <c r="AM285">
        <v>20</v>
      </c>
      <c r="AN285">
        <v>3</v>
      </c>
      <c r="AO285">
        <v>1</v>
      </c>
      <c r="AP285">
        <v>0</v>
      </c>
      <c r="AQ285">
        <v>0</v>
      </c>
      <c r="AR285">
        <v>1</v>
      </c>
    </row>
    <row r="286" spans="1:44" x14ac:dyDescent="0.35">
      <c r="A286" t="s">
        <v>56</v>
      </c>
      <c r="B286" t="s">
        <v>45</v>
      </c>
      <c r="C286" t="s">
        <v>58</v>
      </c>
      <c r="D286" t="s">
        <v>59</v>
      </c>
      <c r="E286" t="s">
        <v>48</v>
      </c>
      <c r="F286" t="s">
        <v>66</v>
      </c>
      <c r="G286" t="s">
        <v>536</v>
      </c>
      <c r="H286">
        <v>606</v>
      </c>
      <c r="I286" t="s">
        <v>62</v>
      </c>
      <c r="J286" t="s">
        <v>52</v>
      </c>
      <c r="K286" t="s">
        <v>64</v>
      </c>
      <c r="L286" t="s">
        <v>56</v>
      </c>
      <c r="M286" t="s">
        <v>54</v>
      </c>
      <c r="N286">
        <v>3</v>
      </c>
      <c r="O286">
        <v>-2</v>
      </c>
      <c r="P286">
        <v>0</v>
      </c>
      <c r="Q286">
        <v>45</v>
      </c>
      <c r="R286">
        <v>0</v>
      </c>
      <c r="T286">
        <v>0</v>
      </c>
      <c r="U286">
        <v>1</v>
      </c>
      <c r="V286">
        <v>561</v>
      </c>
      <c r="W286">
        <v>2</v>
      </c>
      <c r="X286" t="s">
        <v>77</v>
      </c>
      <c r="Y286">
        <v>1</v>
      </c>
      <c r="Z286">
        <v>4</v>
      </c>
      <c r="AA286">
        <v>61</v>
      </c>
      <c r="AB286">
        <v>3</v>
      </c>
      <c r="AC286">
        <v>2</v>
      </c>
      <c r="AD286">
        <v>3</v>
      </c>
      <c r="AE286">
        <v>4805</v>
      </c>
      <c r="AF286">
        <v>16177</v>
      </c>
      <c r="AG286">
        <v>0</v>
      </c>
      <c r="AH286">
        <v>19</v>
      </c>
      <c r="AI286">
        <v>3</v>
      </c>
      <c r="AJ286">
        <v>2</v>
      </c>
      <c r="AK286">
        <v>80</v>
      </c>
      <c r="AL286">
        <v>1</v>
      </c>
      <c r="AM286">
        <v>9</v>
      </c>
      <c r="AN286">
        <v>4</v>
      </c>
      <c r="AO286">
        <v>8</v>
      </c>
      <c r="AP286">
        <v>7</v>
      </c>
      <c r="AQ286">
        <v>3</v>
      </c>
      <c r="AR286">
        <v>7</v>
      </c>
    </row>
    <row r="287" spans="1:44" x14ac:dyDescent="0.35">
      <c r="A287" t="s">
        <v>56</v>
      </c>
      <c r="B287" t="s">
        <v>45</v>
      </c>
      <c r="C287" t="s">
        <v>69</v>
      </c>
      <c r="D287" t="s">
        <v>59</v>
      </c>
      <c r="E287" t="s">
        <v>48</v>
      </c>
      <c r="F287" t="s">
        <v>49</v>
      </c>
      <c r="G287" t="s">
        <v>534</v>
      </c>
      <c r="H287">
        <v>604</v>
      </c>
      <c r="I287" t="s">
        <v>62</v>
      </c>
      <c r="J287" t="s">
        <v>52</v>
      </c>
      <c r="K287" t="s">
        <v>53</v>
      </c>
      <c r="L287" t="s">
        <v>44</v>
      </c>
      <c r="M287" t="s">
        <v>54</v>
      </c>
      <c r="N287">
        <v>2</v>
      </c>
      <c r="O287">
        <v>-2</v>
      </c>
      <c r="P287">
        <v>0</v>
      </c>
      <c r="Q287">
        <v>31</v>
      </c>
      <c r="R287">
        <v>0</v>
      </c>
      <c r="T287">
        <v>0</v>
      </c>
      <c r="U287">
        <v>1</v>
      </c>
      <c r="V287">
        <v>828</v>
      </c>
      <c r="W287">
        <v>2</v>
      </c>
      <c r="X287" t="s">
        <v>65</v>
      </c>
      <c r="Y287">
        <v>1</v>
      </c>
      <c r="Z287">
        <v>2</v>
      </c>
      <c r="AA287">
        <v>77</v>
      </c>
      <c r="AB287">
        <v>3</v>
      </c>
      <c r="AC287">
        <v>2</v>
      </c>
      <c r="AD287">
        <v>2</v>
      </c>
      <c r="AE287">
        <v>6582</v>
      </c>
      <c r="AF287">
        <v>8346</v>
      </c>
      <c r="AG287">
        <v>4</v>
      </c>
      <c r="AH287">
        <v>13</v>
      </c>
      <c r="AI287">
        <v>3</v>
      </c>
      <c r="AJ287">
        <v>3</v>
      </c>
      <c r="AK287">
        <v>80</v>
      </c>
      <c r="AL287">
        <v>0</v>
      </c>
      <c r="AM287">
        <v>10</v>
      </c>
      <c r="AN287">
        <v>4</v>
      </c>
      <c r="AO287">
        <v>6</v>
      </c>
      <c r="AP287">
        <v>5</v>
      </c>
      <c r="AQ287">
        <v>0</v>
      </c>
      <c r="AR287">
        <v>5</v>
      </c>
    </row>
    <row r="288" spans="1:44" x14ac:dyDescent="0.35">
      <c r="A288" t="s">
        <v>56</v>
      </c>
      <c r="B288" t="s">
        <v>45</v>
      </c>
      <c r="C288" t="s">
        <v>46</v>
      </c>
      <c r="D288" t="s">
        <v>59</v>
      </c>
      <c r="E288" t="s">
        <v>48</v>
      </c>
      <c r="F288" t="s">
        <v>106</v>
      </c>
      <c r="G288" t="s">
        <v>531</v>
      </c>
      <c r="H288">
        <v>600</v>
      </c>
      <c r="I288" t="s">
        <v>62</v>
      </c>
      <c r="J288" t="s">
        <v>52</v>
      </c>
      <c r="K288" t="s">
        <v>64</v>
      </c>
      <c r="L288" t="s">
        <v>56</v>
      </c>
      <c r="M288" t="s">
        <v>54</v>
      </c>
      <c r="N288">
        <v>2</v>
      </c>
      <c r="O288">
        <v>-2</v>
      </c>
      <c r="P288">
        <v>0</v>
      </c>
      <c r="Q288">
        <v>35</v>
      </c>
      <c r="R288">
        <v>0</v>
      </c>
      <c r="T288">
        <v>0</v>
      </c>
      <c r="U288">
        <v>1</v>
      </c>
      <c r="V288">
        <v>619</v>
      </c>
      <c r="W288">
        <v>1</v>
      </c>
      <c r="X288" t="s">
        <v>77</v>
      </c>
      <c r="Y288">
        <v>1</v>
      </c>
      <c r="Z288">
        <v>2</v>
      </c>
      <c r="AA288">
        <v>85</v>
      </c>
      <c r="AB288">
        <v>3</v>
      </c>
      <c r="AC288">
        <v>2</v>
      </c>
      <c r="AD288">
        <v>1</v>
      </c>
      <c r="AE288">
        <v>4717</v>
      </c>
      <c r="AF288">
        <v>18659</v>
      </c>
      <c r="AG288">
        <v>9</v>
      </c>
      <c r="AH288">
        <v>11</v>
      </c>
      <c r="AI288">
        <v>3</v>
      </c>
      <c r="AJ288">
        <v>3</v>
      </c>
      <c r="AK288">
        <v>80</v>
      </c>
      <c r="AL288">
        <v>0</v>
      </c>
      <c r="AM288">
        <v>15</v>
      </c>
      <c r="AN288">
        <v>3</v>
      </c>
      <c r="AO288">
        <v>11</v>
      </c>
      <c r="AP288">
        <v>9</v>
      </c>
      <c r="AQ288">
        <v>6</v>
      </c>
      <c r="AR288">
        <v>9</v>
      </c>
    </row>
    <row r="289" spans="1:44" x14ac:dyDescent="0.35">
      <c r="A289" t="s">
        <v>56</v>
      </c>
      <c r="B289" t="s">
        <v>91</v>
      </c>
      <c r="C289" t="s">
        <v>46</v>
      </c>
      <c r="D289" t="s">
        <v>59</v>
      </c>
      <c r="E289" t="s">
        <v>48</v>
      </c>
      <c r="F289" t="s">
        <v>49</v>
      </c>
      <c r="G289" t="s">
        <v>530</v>
      </c>
      <c r="H289">
        <v>599</v>
      </c>
      <c r="I289" t="s">
        <v>62</v>
      </c>
      <c r="J289" t="s">
        <v>52</v>
      </c>
      <c r="K289" t="s">
        <v>53</v>
      </c>
      <c r="L289" t="s">
        <v>56</v>
      </c>
      <c r="M289" t="s">
        <v>54</v>
      </c>
      <c r="N289">
        <v>3</v>
      </c>
      <c r="O289">
        <v>-2</v>
      </c>
      <c r="P289">
        <v>0</v>
      </c>
      <c r="Q289">
        <v>41</v>
      </c>
      <c r="R289">
        <v>0</v>
      </c>
      <c r="T289">
        <v>0</v>
      </c>
      <c r="U289">
        <v>1</v>
      </c>
      <c r="V289">
        <v>267</v>
      </c>
      <c r="W289">
        <v>10</v>
      </c>
      <c r="X289" t="s">
        <v>55</v>
      </c>
      <c r="Y289">
        <v>1</v>
      </c>
      <c r="Z289">
        <v>4</v>
      </c>
      <c r="AA289">
        <v>56</v>
      </c>
      <c r="AB289">
        <v>3</v>
      </c>
      <c r="AC289">
        <v>2</v>
      </c>
      <c r="AD289">
        <v>2</v>
      </c>
      <c r="AE289">
        <v>6230</v>
      </c>
      <c r="AF289">
        <v>13430</v>
      </c>
      <c r="AG289">
        <v>7</v>
      </c>
      <c r="AH289">
        <v>14</v>
      </c>
      <c r="AI289">
        <v>3</v>
      </c>
      <c r="AJ289">
        <v>4</v>
      </c>
      <c r="AK289">
        <v>80</v>
      </c>
      <c r="AL289">
        <v>0</v>
      </c>
      <c r="AM289">
        <v>16</v>
      </c>
      <c r="AN289">
        <v>3</v>
      </c>
      <c r="AO289">
        <v>14</v>
      </c>
      <c r="AP289">
        <v>3</v>
      </c>
      <c r="AQ289">
        <v>1</v>
      </c>
      <c r="AR289">
        <v>10</v>
      </c>
    </row>
    <row r="290" spans="1:44" x14ac:dyDescent="0.35">
      <c r="A290" t="s">
        <v>56</v>
      </c>
      <c r="B290" t="s">
        <v>45</v>
      </c>
      <c r="C290" t="s">
        <v>58</v>
      </c>
      <c r="D290" t="s">
        <v>59</v>
      </c>
      <c r="E290" t="s">
        <v>48</v>
      </c>
      <c r="F290" t="s">
        <v>106</v>
      </c>
      <c r="G290" t="s">
        <v>528</v>
      </c>
      <c r="H290">
        <v>595</v>
      </c>
      <c r="I290" t="s">
        <v>51</v>
      </c>
      <c r="J290" t="s">
        <v>52</v>
      </c>
      <c r="K290" t="s">
        <v>64</v>
      </c>
      <c r="L290" t="s">
        <v>56</v>
      </c>
      <c r="M290" t="s">
        <v>54</v>
      </c>
      <c r="N290">
        <v>2</v>
      </c>
      <c r="O290">
        <v>-2</v>
      </c>
      <c r="P290">
        <v>0</v>
      </c>
      <c r="Q290">
        <v>48</v>
      </c>
      <c r="R290">
        <v>0</v>
      </c>
      <c r="T290">
        <v>0</v>
      </c>
      <c r="U290">
        <v>1</v>
      </c>
      <c r="V290">
        <v>163</v>
      </c>
      <c r="W290">
        <v>2</v>
      </c>
      <c r="X290" t="s">
        <v>134</v>
      </c>
      <c r="Y290">
        <v>1</v>
      </c>
      <c r="Z290">
        <v>2</v>
      </c>
      <c r="AA290">
        <v>37</v>
      </c>
      <c r="AB290">
        <v>3</v>
      </c>
      <c r="AC290">
        <v>2</v>
      </c>
      <c r="AD290">
        <v>1</v>
      </c>
      <c r="AE290">
        <v>4051</v>
      </c>
      <c r="AF290">
        <v>19658</v>
      </c>
      <c r="AG290">
        <v>2</v>
      </c>
      <c r="AH290">
        <v>14</v>
      </c>
      <c r="AI290">
        <v>3</v>
      </c>
      <c r="AJ290">
        <v>1</v>
      </c>
      <c r="AK290">
        <v>80</v>
      </c>
      <c r="AL290">
        <v>1</v>
      </c>
      <c r="AM290">
        <v>14</v>
      </c>
      <c r="AN290">
        <v>3</v>
      </c>
      <c r="AO290">
        <v>9</v>
      </c>
      <c r="AP290">
        <v>7</v>
      </c>
      <c r="AQ290">
        <v>6</v>
      </c>
      <c r="AR290">
        <v>7</v>
      </c>
    </row>
    <row r="291" spans="1:44" x14ac:dyDescent="0.35">
      <c r="A291" t="s">
        <v>56</v>
      </c>
      <c r="B291" t="s">
        <v>91</v>
      </c>
      <c r="C291" t="s">
        <v>46</v>
      </c>
      <c r="D291" t="s">
        <v>59</v>
      </c>
      <c r="E291" t="s">
        <v>48</v>
      </c>
      <c r="F291" t="s">
        <v>72</v>
      </c>
      <c r="G291" t="s">
        <v>526</v>
      </c>
      <c r="H291">
        <v>592</v>
      </c>
      <c r="I291" t="s">
        <v>62</v>
      </c>
      <c r="J291" t="s">
        <v>52</v>
      </c>
      <c r="K291" t="s">
        <v>53</v>
      </c>
      <c r="L291" t="s">
        <v>56</v>
      </c>
      <c r="M291" t="s">
        <v>54</v>
      </c>
      <c r="N291">
        <v>3</v>
      </c>
      <c r="O291">
        <v>-2</v>
      </c>
      <c r="P291">
        <v>0</v>
      </c>
      <c r="Q291">
        <v>36</v>
      </c>
      <c r="R291">
        <v>0</v>
      </c>
      <c r="T291">
        <v>0</v>
      </c>
      <c r="U291">
        <v>1</v>
      </c>
      <c r="V291">
        <v>635</v>
      </c>
      <c r="W291">
        <v>10</v>
      </c>
      <c r="X291" t="s">
        <v>71</v>
      </c>
      <c r="Y291">
        <v>1</v>
      </c>
      <c r="Z291">
        <v>2</v>
      </c>
      <c r="AA291">
        <v>32</v>
      </c>
      <c r="AB291">
        <v>3</v>
      </c>
      <c r="AC291">
        <v>3</v>
      </c>
      <c r="AD291">
        <v>4</v>
      </c>
      <c r="AE291">
        <v>9980</v>
      </c>
      <c r="AF291">
        <v>15318</v>
      </c>
      <c r="AG291">
        <v>1</v>
      </c>
      <c r="AH291">
        <v>14</v>
      </c>
      <c r="AI291">
        <v>3</v>
      </c>
      <c r="AJ291">
        <v>4</v>
      </c>
      <c r="AK291">
        <v>80</v>
      </c>
      <c r="AL291">
        <v>0</v>
      </c>
      <c r="AM291">
        <v>10</v>
      </c>
      <c r="AN291">
        <v>2</v>
      </c>
      <c r="AO291">
        <v>10</v>
      </c>
      <c r="AP291">
        <v>3</v>
      </c>
      <c r="AQ291">
        <v>9</v>
      </c>
      <c r="AR291">
        <v>7</v>
      </c>
    </row>
    <row r="292" spans="1:44" x14ac:dyDescent="0.35">
      <c r="A292" t="s">
        <v>56</v>
      </c>
      <c r="B292" t="s">
        <v>45</v>
      </c>
      <c r="C292" t="s">
        <v>58</v>
      </c>
      <c r="D292" t="s">
        <v>59</v>
      </c>
      <c r="E292" t="s">
        <v>48</v>
      </c>
      <c r="F292" t="s">
        <v>106</v>
      </c>
      <c r="G292" t="s">
        <v>517</v>
      </c>
      <c r="H292">
        <v>580</v>
      </c>
      <c r="I292" t="s">
        <v>51</v>
      </c>
      <c r="J292" t="s">
        <v>52</v>
      </c>
      <c r="K292" t="s">
        <v>64</v>
      </c>
      <c r="L292" t="s">
        <v>44</v>
      </c>
      <c r="M292" t="s">
        <v>54</v>
      </c>
      <c r="N292">
        <v>3</v>
      </c>
      <c r="O292">
        <v>-2</v>
      </c>
      <c r="P292">
        <v>0</v>
      </c>
      <c r="Q292">
        <v>46</v>
      </c>
      <c r="R292">
        <v>0</v>
      </c>
      <c r="T292">
        <v>0</v>
      </c>
      <c r="U292">
        <v>1</v>
      </c>
      <c r="V292">
        <v>1125</v>
      </c>
      <c r="W292">
        <v>10</v>
      </c>
      <c r="X292" t="s">
        <v>77</v>
      </c>
      <c r="Y292">
        <v>1</v>
      </c>
      <c r="Z292">
        <v>3</v>
      </c>
      <c r="AA292">
        <v>94</v>
      </c>
      <c r="AB292">
        <v>2</v>
      </c>
      <c r="AC292">
        <v>3</v>
      </c>
      <c r="AD292">
        <v>1</v>
      </c>
      <c r="AE292">
        <v>9071</v>
      </c>
      <c r="AF292">
        <v>11563</v>
      </c>
      <c r="AG292">
        <v>2</v>
      </c>
      <c r="AH292">
        <v>19</v>
      </c>
      <c r="AI292">
        <v>3</v>
      </c>
      <c r="AJ292">
        <v>3</v>
      </c>
      <c r="AK292">
        <v>80</v>
      </c>
      <c r="AL292">
        <v>1</v>
      </c>
      <c r="AM292">
        <v>15</v>
      </c>
      <c r="AN292">
        <v>3</v>
      </c>
      <c r="AO292">
        <v>3</v>
      </c>
      <c r="AP292">
        <v>2</v>
      </c>
      <c r="AQ292">
        <v>1</v>
      </c>
      <c r="AR292">
        <v>2</v>
      </c>
    </row>
    <row r="293" spans="1:44" x14ac:dyDescent="0.35">
      <c r="A293" t="s">
        <v>56</v>
      </c>
      <c r="B293" t="s">
        <v>57</v>
      </c>
      <c r="C293" t="s">
        <v>75</v>
      </c>
      <c r="D293" t="s">
        <v>59</v>
      </c>
      <c r="E293" t="s">
        <v>48</v>
      </c>
      <c r="F293" t="s">
        <v>106</v>
      </c>
      <c r="G293" t="s">
        <v>511</v>
      </c>
      <c r="H293">
        <v>573</v>
      </c>
      <c r="I293" t="s">
        <v>51</v>
      </c>
      <c r="J293" t="s">
        <v>52</v>
      </c>
      <c r="K293" t="s">
        <v>64</v>
      </c>
      <c r="L293" t="s">
        <v>56</v>
      </c>
      <c r="M293" t="s">
        <v>54</v>
      </c>
      <c r="N293">
        <v>5</v>
      </c>
      <c r="O293">
        <v>-2</v>
      </c>
      <c r="P293">
        <v>0</v>
      </c>
      <c r="Q293">
        <v>60</v>
      </c>
      <c r="R293">
        <v>0</v>
      </c>
      <c r="T293">
        <v>0</v>
      </c>
      <c r="U293">
        <v>1</v>
      </c>
      <c r="V293">
        <v>1499</v>
      </c>
      <c r="W293">
        <v>28</v>
      </c>
      <c r="X293" t="s">
        <v>77</v>
      </c>
      <c r="Y293">
        <v>1</v>
      </c>
      <c r="Z293">
        <v>3</v>
      </c>
      <c r="AA293">
        <v>80</v>
      </c>
      <c r="AB293">
        <v>2</v>
      </c>
      <c r="AC293">
        <v>3</v>
      </c>
      <c r="AD293">
        <v>1</v>
      </c>
      <c r="AE293">
        <v>10266</v>
      </c>
      <c r="AF293">
        <v>2845</v>
      </c>
      <c r="AG293">
        <v>4</v>
      </c>
      <c r="AH293">
        <v>19</v>
      </c>
      <c r="AI293">
        <v>3</v>
      </c>
      <c r="AJ293">
        <v>4</v>
      </c>
      <c r="AK293">
        <v>80</v>
      </c>
      <c r="AL293">
        <v>0</v>
      </c>
      <c r="AM293">
        <v>22</v>
      </c>
      <c r="AN293">
        <v>4</v>
      </c>
      <c r="AO293">
        <v>18</v>
      </c>
      <c r="AP293">
        <v>13</v>
      </c>
      <c r="AQ293">
        <v>13</v>
      </c>
      <c r="AR293">
        <v>11</v>
      </c>
    </row>
    <row r="294" spans="1:44" x14ac:dyDescent="0.35">
      <c r="A294" t="s">
        <v>56</v>
      </c>
      <c r="B294" t="s">
        <v>91</v>
      </c>
      <c r="C294" t="s">
        <v>69</v>
      </c>
      <c r="D294" t="s">
        <v>59</v>
      </c>
      <c r="E294" t="s">
        <v>48</v>
      </c>
      <c r="F294" t="s">
        <v>66</v>
      </c>
      <c r="G294" t="s">
        <v>507</v>
      </c>
      <c r="H294">
        <v>567</v>
      </c>
      <c r="I294" t="s">
        <v>51</v>
      </c>
      <c r="J294" t="s">
        <v>52</v>
      </c>
      <c r="K294" t="s">
        <v>64</v>
      </c>
      <c r="L294" t="s">
        <v>56</v>
      </c>
      <c r="M294" t="s">
        <v>54</v>
      </c>
      <c r="N294">
        <v>3</v>
      </c>
      <c r="O294">
        <v>-2</v>
      </c>
      <c r="P294">
        <v>0</v>
      </c>
      <c r="Q294">
        <v>30</v>
      </c>
      <c r="R294">
        <v>0</v>
      </c>
      <c r="T294">
        <v>0</v>
      </c>
      <c r="U294">
        <v>1</v>
      </c>
      <c r="V294">
        <v>1398</v>
      </c>
      <c r="W294">
        <v>22</v>
      </c>
      <c r="X294" t="s">
        <v>71</v>
      </c>
      <c r="Y294">
        <v>1</v>
      </c>
      <c r="Z294">
        <v>3</v>
      </c>
      <c r="AA294">
        <v>69</v>
      </c>
      <c r="AB294">
        <v>3</v>
      </c>
      <c r="AC294">
        <v>3</v>
      </c>
      <c r="AD294">
        <v>3</v>
      </c>
      <c r="AE294">
        <v>8412</v>
      </c>
      <c r="AF294">
        <v>2890</v>
      </c>
      <c r="AG294">
        <v>0</v>
      </c>
      <c r="AH294">
        <v>11</v>
      </c>
      <c r="AI294">
        <v>3</v>
      </c>
      <c r="AJ294">
        <v>3</v>
      </c>
      <c r="AK294">
        <v>80</v>
      </c>
      <c r="AL294">
        <v>0</v>
      </c>
      <c r="AM294">
        <v>10</v>
      </c>
      <c r="AN294">
        <v>3</v>
      </c>
      <c r="AO294">
        <v>9</v>
      </c>
      <c r="AP294">
        <v>8</v>
      </c>
      <c r="AQ294">
        <v>7</v>
      </c>
      <c r="AR294">
        <v>8</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45</v>
      </c>
      <c r="C296" t="s">
        <v>46</v>
      </c>
      <c r="D296" t="s">
        <v>59</v>
      </c>
      <c r="E296" t="s">
        <v>48</v>
      </c>
      <c r="F296" t="s">
        <v>106</v>
      </c>
      <c r="G296" t="s">
        <v>487</v>
      </c>
      <c r="H296">
        <v>534</v>
      </c>
      <c r="I296" t="s">
        <v>62</v>
      </c>
      <c r="J296" t="s">
        <v>52</v>
      </c>
      <c r="K296" t="s">
        <v>64</v>
      </c>
      <c r="L296" t="s">
        <v>56</v>
      </c>
      <c r="M296" t="s">
        <v>54</v>
      </c>
      <c r="N296">
        <v>2</v>
      </c>
      <c r="O296">
        <v>-2</v>
      </c>
      <c r="P296">
        <v>0</v>
      </c>
      <c r="Q296">
        <v>41</v>
      </c>
      <c r="R296">
        <v>0</v>
      </c>
      <c r="T296">
        <v>0</v>
      </c>
      <c r="U296">
        <v>1</v>
      </c>
      <c r="V296">
        <v>645</v>
      </c>
      <c r="W296">
        <v>1</v>
      </c>
      <c r="X296" t="s">
        <v>77</v>
      </c>
      <c r="Y296">
        <v>1</v>
      </c>
      <c r="Z296">
        <v>2</v>
      </c>
      <c r="AA296">
        <v>49</v>
      </c>
      <c r="AB296">
        <v>4</v>
      </c>
      <c r="AC296">
        <v>3</v>
      </c>
      <c r="AD296">
        <v>1</v>
      </c>
      <c r="AE296">
        <v>8392</v>
      </c>
      <c r="AF296">
        <v>19566</v>
      </c>
      <c r="AG296">
        <v>1</v>
      </c>
      <c r="AH296">
        <v>16</v>
      </c>
      <c r="AI296">
        <v>3</v>
      </c>
      <c r="AJ296">
        <v>3</v>
      </c>
      <c r="AK296">
        <v>80</v>
      </c>
      <c r="AL296">
        <v>1</v>
      </c>
      <c r="AM296">
        <v>10</v>
      </c>
      <c r="AN296">
        <v>3</v>
      </c>
      <c r="AO296">
        <v>10</v>
      </c>
      <c r="AP296">
        <v>7</v>
      </c>
      <c r="AQ296">
        <v>0</v>
      </c>
      <c r="AR296">
        <v>7</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56</v>
      </c>
      <c r="B298" t="s">
        <v>45</v>
      </c>
      <c r="C298" t="s">
        <v>69</v>
      </c>
      <c r="D298" t="s">
        <v>59</v>
      </c>
      <c r="E298" t="s">
        <v>48</v>
      </c>
      <c r="F298" t="s">
        <v>113</v>
      </c>
      <c r="G298" t="s">
        <v>486</v>
      </c>
      <c r="H298">
        <v>533</v>
      </c>
      <c r="I298" t="s">
        <v>51</v>
      </c>
      <c r="J298" t="s">
        <v>52</v>
      </c>
      <c r="K298" t="s">
        <v>53</v>
      </c>
      <c r="L298" t="s">
        <v>56</v>
      </c>
      <c r="M298" t="s">
        <v>54</v>
      </c>
      <c r="N298">
        <v>6</v>
      </c>
      <c r="O298">
        <v>-2</v>
      </c>
      <c r="P298">
        <v>0</v>
      </c>
      <c r="Q298">
        <v>30</v>
      </c>
      <c r="R298">
        <v>0</v>
      </c>
      <c r="T298">
        <v>0</v>
      </c>
      <c r="U298">
        <v>1</v>
      </c>
      <c r="V298">
        <v>1082</v>
      </c>
      <c r="W298">
        <v>12</v>
      </c>
      <c r="X298" t="s">
        <v>77</v>
      </c>
      <c r="Y298">
        <v>1</v>
      </c>
      <c r="Z298">
        <v>4</v>
      </c>
      <c r="AA298">
        <v>83</v>
      </c>
      <c r="AB298">
        <v>3</v>
      </c>
      <c r="AC298">
        <v>2</v>
      </c>
      <c r="AD298">
        <v>4</v>
      </c>
      <c r="AE298">
        <v>6577</v>
      </c>
      <c r="AF298">
        <v>19558</v>
      </c>
      <c r="AG298">
        <v>0</v>
      </c>
      <c r="AH298">
        <v>11</v>
      </c>
      <c r="AI298">
        <v>3</v>
      </c>
      <c r="AJ298">
        <v>2</v>
      </c>
      <c r="AK298">
        <v>80</v>
      </c>
      <c r="AL298">
        <v>0</v>
      </c>
      <c r="AM298">
        <v>6</v>
      </c>
      <c r="AN298">
        <v>3</v>
      </c>
      <c r="AO298">
        <v>5</v>
      </c>
      <c r="AP298">
        <v>4</v>
      </c>
      <c r="AQ298">
        <v>4</v>
      </c>
      <c r="AR298">
        <v>4</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75</v>
      </c>
      <c r="D300" t="s">
        <v>59</v>
      </c>
      <c r="E300" t="s">
        <v>48</v>
      </c>
      <c r="F300" t="s">
        <v>49</v>
      </c>
      <c r="G300" t="s">
        <v>485</v>
      </c>
      <c r="H300">
        <v>532</v>
      </c>
      <c r="I300" t="s">
        <v>51</v>
      </c>
      <c r="J300" t="s">
        <v>52</v>
      </c>
      <c r="K300" t="s">
        <v>64</v>
      </c>
      <c r="L300" t="s">
        <v>56</v>
      </c>
      <c r="M300" t="s">
        <v>54</v>
      </c>
      <c r="N300">
        <v>0</v>
      </c>
      <c r="O300">
        <v>-2</v>
      </c>
      <c r="P300">
        <v>0</v>
      </c>
      <c r="Q300">
        <v>56</v>
      </c>
      <c r="R300">
        <v>0</v>
      </c>
      <c r="T300">
        <v>0</v>
      </c>
      <c r="U300">
        <v>1</v>
      </c>
      <c r="V300">
        <v>906</v>
      </c>
      <c r="W300">
        <v>6</v>
      </c>
      <c r="X300" t="s">
        <v>77</v>
      </c>
      <c r="Y300">
        <v>1</v>
      </c>
      <c r="Z300">
        <v>3</v>
      </c>
      <c r="AA300">
        <v>86</v>
      </c>
      <c r="AB300">
        <v>4</v>
      </c>
      <c r="AC300">
        <v>4</v>
      </c>
      <c r="AD300">
        <v>2</v>
      </c>
      <c r="AE300">
        <v>13212</v>
      </c>
      <c r="AF300">
        <v>18256</v>
      </c>
      <c r="AG300">
        <v>9</v>
      </c>
      <c r="AH300">
        <v>11</v>
      </c>
      <c r="AI300">
        <v>3</v>
      </c>
      <c r="AJ300">
        <v>4</v>
      </c>
      <c r="AK300">
        <v>80</v>
      </c>
      <c r="AL300">
        <v>3</v>
      </c>
      <c r="AM300">
        <v>36</v>
      </c>
      <c r="AN300">
        <v>2</v>
      </c>
      <c r="AO300">
        <v>7</v>
      </c>
      <c r="AP300">
        <v>7</v>
      </c>
      <c r="AQ300">
        <v>7</v>
      </c>
      <c r="AR300">
        <v>7</v>
      </c>
    </row>
    <row r="301" spans="1:44" x14ac:dyDescent="0.35">
      <c r="A301" t="s">
        <v>56</v>
      </c>
      <c r="B301" t="s">
        <v>45</v>
      </c>
      <c r="C301" t="s">
        <v>69</v>
      </c>
      <c r="D301" t="s">
        <v>59</v>
      </c>
      <c r="E301" t="s">
        <v>48</v>
      </c>
      <c r="F301" t="s">
        <v>49</v>
      </c>
      <c r="G301" t="s">
        <v>481</v>
      </c>
      <c r="H301">
        <v>527</v>
      </c>
      <c r="I301" t="s">
        <v>51</v>
      </c>
      <c r="J301" t="s">
        <v>52</v>
      </c>
      <c r="K301" t="s">
        <v>53</v>
      </c>
      <c r="L301" t="s">
        <v>44</v>
      </c>
      <c r="M301" t="s">
        <v>54</v>
      </c>
      <c r="N301">
        <v>3</v>
      </c>
      <c r="O301">
        <v>-2</v>
      </c>
      <c r="P301">
        <v>0</v>
      </c>
      <c r="Q301">
        <v>25</v>
      </c>
      <c r="R301">
        <v>0</v>
      </c>
      <c r="T301">
        <v>0</v>
      </c>
      <c r="U301">
        <v>1</v>
      </c>
      <c r="V301">
        <v>891</v>
      </c>
      <c r="W301">
        <v>4</v>
      </c>
      <c r="X301" t="s">
        <v>55</v>
      </c>
      <c r="Y301">
        <v>1</v>
      </c>
      <c r="Z301">
        <v>2</v>
      </c>
      <c r="AA301">
        <v>99</v>
      </c>
      <c r="AB301">
        <v>2</v>
      </c>
      <c r="AC301">
        <v>2</v>
      </c>
      <c r="AD301">
        <v>2</v>
      </c>
      <c r="AE301">
        <v>4487</v>
      </c>
      <c r="AF301">
        <v>12090</v>
      </c>
      <c r="AG301">
        <v>1</v>
      </c>
      <c r="AH301">
        <v>11</v>
      </c>
      <c r="AI301">
        <v>3</v>
      </c>
      <c r="AJ301">
        <v>2</v>
      </c>
      <c r="AK301">
        <v>80</v>
      </c>
      <c r="AL301">
        <v>0</v>
      </c>
      <c r="AM301">
        <v>5</v>
      </c>
      <c r="AN301">
        <v>3</v>
      </c>
      <c r="AO301">
        <v>5</v>
      </c>
      <c r="AP301">
        <v>4</v>
      </c>
      <c r="AQ301">
        <v>1</v>
      </c>
      <c r="AR301">
        <v>3</v>
      </c>
    </row>
    <row r="302" spans="1:44" x14ac:dyDescent="0.35">
      <c r="A302" t="s">
        <v>56</v>
      </c>
      <c r="B302" t="s">
        <v>91</v>
      </c>
      <c r="C302" t="s">
        <v>69</v>
      </c>
      <c r="D302" t="s">
        <v>59</v>
      </c>
      <c r="E302" t="s">
        <v>48</v>
      </c>
      <c r="F302" t="s">
        <v>106</v>
      </c>
      <c r="G302" t="s">
        <v>477</v>
      </c>
      <c r="H302">
        <v>523</v>
      </c>
      <c r="I302" t="s">
        <v>51</v>
      </c>
      <c r="J302" t="s">
        <v>52</v>
      </c>
      <c r="K302" t="s">
        <v>64</v>
      </c>
      <c r="L302" t="s">
        <v>56</v>
      </c>
      <c r="M302" t="s">
        <v>54</v>
      </c>
      <c r="N302">
        <v>3</v>
      </c>
      <c r="O302">
        <v>-2</v>
      </c>
      <c r="P302">
        <v>0</v>
      </c>
      <c r="Q302">
        <v>34</v>
      </c>
      <c r="R302">
        <v>0</v>
      </c>
      <c r="T302">
        <v>0</v>
      </c>
      <c r="U302">
        <v>1</v>
      </c>
      <c r="V302">
        <v>1381</v>
      </c>
      <c r="W302">
        <v>4</v>
      </c>
      <c r="X302" t="s">
        <v>71</v>
      </c>
      <c r="Y302">
        <v>1</v>
      </c>
      <c r="Z302">
        <v>3</v>
      </c>
      <c r="AA302">
        <v>72</v>
      </c>
      <c r="AB302">
        <v>3</v>
      </c>
      <c r="AC302">
        <v>2</v>
      </c>
      <c r="AD302">
        <v>1</v>
      </c>
      <c r="AE302">
        <v>6538</v>
      </c>
      <c r="AF302">
        <v>12740</v>
      </c>
      <c r="AG302">
        <v>9</v>
      </c>
      <c r="AH302">
        <v>15</v>
      </c>
      <c r="AI302">
        <v>3</v>
      </c>
      <c r="AJ302">
        <v>1</v>
      </c>
      <c r="AK302">
        <v>80</v>
      </c>
      <c r="AL302">
        <v>1</v>
      </c>
      <c r="AM302">
        <v>6</v>
      </c>
      <c r="AN302">
        <v>3</v>
      </c>
      <c r="AO302">
        <v>3</v>
      </c>
      <c r="AP302">
        <v>2</v>
      </c>
      <c r="AQ302">
        <v>1</v>
      </c>
      <c r="AR302">
        <v>2</v>
      </c>
    </row>
    <row r="303" spans="1:44" x14ac:dyDescent="0.35">
      <c r="A303" t="s">
        <v>56</v>
      </c>
      <c r="B303" t="s">
        <v>45</v>
      </c>
      <c r="C303" t="s">
        <v>46</v>
      </c>
      <c r="D303" t="s">
        <v>59</v>
      </c>
      <c r="E303" t="s">
        <v>48</v>
      </c>
      <c r="F303" t="s">
        <v>106</v>
      </c>
      <c r="G303" t="s">
        <v>471</v>
      </c>
      <c r="H303">
        <v>516</v>
      </c>
      <c r="I303" t="s">
        <v>51</v>
      </c>
      <c r="J303" t="s">
        <v>52</v>
      </c>
      <c r="K303" t="s">
        <v>79</v>
      </c>
      <c r="L303" t="s">
        <v>56</v>
      </c>
      <c r="M303" t="s">
        <v>54</v>
      </c>
      <c r="N303">
        <v>5</v>
      </c>
      <c r="O303">
        <v>-2</v>
      </c>
      <c r="P303">
        <v>0</v>
      </c>
      <c r="Q303">
        <v>40</v>
      </c>
      <c r="R303">
        <v>0</v>
      </c>
      <c r="T303">
        <v>0</v>
      </c>
      <c r="U303">
        <v>1</v>
      </c>
      <c r="V303">
        <v>759</v>
      </c>
      <c r="W303">
        <v>2</v>
      </c>
      <c r="X303" t="s">
        <v>55</v>
      </c>
      <c r="Y303">
        <v>1</v>
      </c>
      <c r="Z303">
        <v>4</v>
      </c>
      <c r="AA303">
        <v>46</v>
      </c>
      <c r="AB303">
        <v>3</v>
      </c>
      <c r="AC303">
        <v>2</v>
      </c>
      <c r="AD303">
        <v>1</v>
      </c>
      <c r="AE303">
        <v>5715</v>
      </c>
      <c r="AF303">
        <v>22553</v>
      </c>
      <c r="AG303">
        <v>7</v>
      </c>
      <c r="AH303">
        <v>12</v>
      </c>
      <c r="AI303">
        <v>3</v>
      </c>
      <c r="AJ303">
        <v>3</v>
      </c>
      <c r="AK303">
        <v>80</v>
      </c>
      <c r="AL303">
        <v>2</v>
      </c>
      <c r="AM303">
        <v>8</v>
      </c>
      <c r="AN303">
        <v>3</v>
      </c>
      <c r="AO303">
        <v>5</v>
      </c>
      <c r="AP303">
        <v>4</v>
      </c>
      <c r="AQ303">
        <v>1</v>
      </c>
      <c r="AR303">
        <v>3</v>
      </c>
    </row>
    <row r="304" spans="1:44" x14ac:dyDescent="0.35">
      <c r="A304" t="s">
        <v>56</v>
      </c>
      <c r="B304" t="s">
        <v>45</v>
      </c>
      <c r="C304" t="s">
        <v>46</v>
      </c>
      <c r="D304" t="s">
        <v>59</v>
      </c>
      <c r="E304" t="s">
        <v>48</v>
      </c>
      <c r="F304" t="s">
        <v>72</v>
      </c>
      <c r="G304" t="s">
        <v>468</v>
      </c>
      <c r="H304">
        <v>513</v>
      </c>
      <c r="I304" t="s">
        <v>62</v>
      </c>
      <c r="J304" t="s">
        <v>52</v>
      </c>
      <c r="K304" t="s">
        <v>64</v>
      </c>
      <c r="L304" t="s">
        <v>56</v>
      </c>
      <c r="M304" t="s">
        <v>54</v>
      </c>
      <c r="N304">
        <v>2</v>
      </c>
      <c r="O304">
        <v>-2</v>
      </c>
      <c r="P304">
        <v>0</v>
      </c>
      <c r="Q304">
        <v>36</v>
      </c>
      <c r="R304">
        <v>0</v>
      </c>
      <c r="T304">
        <v>0</v>
      </c>
      <c r="U304">
        <v>1</v>
      </c>
      <c r="V304">
        <v>164</v>
      </c>
      <c r="W304">
        <v>2</v>
      </c>
      <c r="X304" t="s">
        <v>55</v>
      </c>
      <c r="Y304">
        <v>1</v>
      </c>
      <c r="Z304">
        <v>2</v>
      </c>
      <c r="AA304">
        <v>61</v>
      </c>
      <c r="AB304">
        <v>2</v>
      </c>
      <c r="AC304">
        <v>3</v>
      </c>
      <c r="AD304">
        <v>3</v>
      </c>
      <c r="AE304">
        <v>7596</v>
      </c>
      <c r="AF304">
        <v>3809</v>
      </c>
      <c r="AG304">
        <v>1</v>
      </c>
      <c r="AH304">
        <v>13</v>
      </c>
      <c r="AI304">
        <v>3</v>
      </c>
      <c r="AJ304">
        <v>2</v>
      </c>
      <c r="AK304">
        <v>80</v>
      </c>
      <c r="AL304">
        <v>2</v>
      </c>
      <c r="AM304">
        <v>10</v>
      </c>
      <c r="AN304">
        <v>3</v>
      </c>
      <c r="AO304">
        <v>10</v>
      </c>
      <c r="AP304">
        <v>9</v>
      </c>
      <c r="AQ304">
        <v>9</v>
      </c>
      <c r="AR304">
        <v>0</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92</v>
      </c>
      <c r="D306" t="s">
        <v>59</v>
      </c>
      <c r="E306" t="s">
        <v>48</v>
      </c>
      <c r="F306" t="s">
        <v>106</v>
      </c>
      <c r="G306" t="s">
        <v>464</v>
      </c>
      <c r="H306">
        <v>507</v>
      </c>
      <c r="I306" t="s">
        <v>51</v>
      </c>
      <c r="J306" t="s">
        <v>52</v>
      </c>
      <c r="K306" t="s">
        <v>79</v>
      </c>
      <c r="L306" t="s">
        <v>44</v>
      </c>
      <c r="M306" t="s">
        <v>54</v>
      </c>
      <c r="N306">
        <v>2</v>
      </c>
      <c r="O306">
        <v>-2</v>
      </c>
      <c r="P306">
        <v>0</v>
      </c>
      <c r="Q306">
        <v>24</v>
      </c>
      <c r="R306">
        <v>0</v>
      </c>
      <c r="T306">
        <v>0</v>
      </c>
      <c r="U306">
        <v>1</v>
      </c>
      <c r="V306">
        <v>1371</v>
      </c>
      <c r="W306">
        <v>10</v>
      </c>
      <c r="X306" t="s">
        <v>71</v>
      </c>
      <c r="Y306">
        <v>1</v>
      </c>
      <c r="Z306">
        <v>4</v>
      </c>
      <c r="AA306">
        <v>77</v>
      </c>
      <c r="AB306">
        <v>3</v>
      </c>
      <c r="AC306">
        <v>2</v>
      </c>
      <c r="AD306">
        <v>1</v>
      </c>
      <c r="AE306">
        <v>4260</v>
      </c>
      <c r="AF306">
        <v>5915</v>
      </c>
      <c r="AG306">
        <v>1</v>
      </c>
      <c r="AH306">
        <v>12</v>
      </c>
      <c r="AI306">
        <v>3</v>
      </c>
      <c r="AJ306">
        <v>4</v>
      </c>
      <c r="AK306">
        <v>80</v>
      </c>
      <c r="AL306">
        <v>1</v>
      </c>
      <c r="AM306">
        <v>5</v>
      </c>
      <c r="AN306">
        <v>4</v>
      </c>
      <c r="AO306">
        <v>5</v>
      </c>
      <c r="AP306">
        <v>2</v>
      </c>
      <c r="AQ306">
        <v>0</v>
      </c>
      <c r="AR306">
        <v>3</v>
      </c>
    </row>
    <row r="307" spans="1:44" x14ac:dyDescent="0.35">
      <c r="A307" t="s">
        <v>44</v>
      </c>
      <c r="B307" t="s">
        <v>91</v>
      </c>
      <c r="C307" t="s">
        <v>69</v>
      </c>
      <c r="D307" t="s">
        <v>47</v>
      </c>
      <c r="E307" t="s">
        <v>48</v>
      </c>
      <c r="F307" t="s">
        <v>106</v>
      </c>
      <c r="G307" t="s">
        <v>462</v>
      </c>
      <c r="H307">
        <v>502</v>
      </c>
      <c r="I307" t="s">
        <v>62</v>
      </c>
      <c r="J307" t="s">
        <v>52</v>
      </c>
      <c r="K307" t="s">
        <v>53</v>
      </c>
      <c r="L307" t="s">
        <v>44</v>
      </c>
      <c r="M307" t="s">
        <v>54</v>
      </c>
      <c r="N307">
        <v>3</v>
      </c>
      <c r="O307">
        <v>-2</v>
      </c>
      <c r="P307">
        <v>0</v>
      </c>
      <c r="Q307">
        <v>34</v>
      </c>
      <c r="R307">
        <v>1</v>
      </c>
      <c r="S307">
        <v>1</v>
      </c>
      <c r="T307">
        <v>1</v>
      </c>
      <c r="U307">
        <v>0</v>
      </c>
      <c r="V307">
        <v>1362</v>
      </c>
      <c r="W307">
        <v>19</v>
      </c>
      <c r="X307" t="s">
        <v>77</v>
      </c>
      <c r="Y307">
        <v>1</v>
      </c>
      <c r="Z307">
        <v>1</v>
      </c>
      <c r="AA307">
        <v>67</v>
      </c>
      <c r="AB307">
        <v>4</v>
      </c>
      <c r="AC307">
        <v>2</v>
      </c>
      <c r="AD307">
        <v>1</v>
      </c>
      <c r="AE307">
        <v>5304</v>
      </c>
      <c r="AF307">
        <v>4652</v>
      </c>
      <c r="AG307">
        <v>8</v>
      </c>
      <c r="AH307">
        <v>13</v>
      </c>
      <c r="AI307">
        <v>3</v>
      </c>
      <c r="AJ307">
        <v>2</v>
      </c>
      <c r="AK307">
        <v>80</v>
      </c>
      <c r="AL307">
        <v>0</v>
      </c>
      <c r="AM307">
        <v>9</v>
      </c>
      <c r="AN307">
        <v>2</v>
      </c>
      <c r="AO307">
        <v>5</v>
      </c>
      <c r="AP307">
        <v>2</v>
      </c>
      <c r="AQ307">
        <v>0</v>
      </c>
      <c r="AR307">
        <v>4</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58</v>
      </c>
      <c r="D309" t="s">
        <v>59</v>
      </c>
      <c r="E309" t="s">
        <v>48</v>
      </c>
      <c r="F309" t="s">
        <v>49</v>
      </c>
      <c r="G309" t="s">
        <v>460</v>
      </c>
      <c r="H309">
        <v>500</v>
      </c>
      <c r="I309" t="s">
        <v>51</v>
      </c>
      <c r="J309" t="s">
        <v>52</v>
      </c>
      <c r="K309" t="s">
        <v>64</v>
      </c>
      <c r="L309" t="s">
        <v>56</v>
      </c>
      <c r="M309" t="s">
        <v>54</v>
      </c>
      <c r="N309">
        <v>2</v>
      </c>
      <c r="O309">
        <v>-2</v>
      </c>
      <c r="P309">
        <v>0</v>
      </c>
      <c r="Q309">
        <v>51</v>
      </c>
      <c r="R309">
        <v>0</v>
      </c>
      <c r="T309">
        <v>0</v>
      </c>
      <c r="U309">
        <v>1</v>
      </c>
      <c r="V309">
        <v>1178</v>
      </c>
      <c r="W309">
        <v>14</v>
      </c>
      <c r="X309" t="s">
        <v>55</v>
      </c>
      <c r="Y309">
        <v>1</v>
      </c>
      <c r="Z309">
        <v>3</v>
      </c>
      <c r="AA309">
        <v>87</v>
      </c>
      <c r="AB309">
        <v>3</v>
      </c>
      <c r="AC309">
        <v>2</v>
      </c>
      <c r="AD309">
        <v>2</v>
      </c>
      <c r="AE309">
        <v>4936</v>
      </c>
      <c r="AF309">
        <v>14862</v>
      </c>
      <c r="AG309">
        <v>4</v>
      </c>
      <c r="AH309">
        <v>11</v>
      </c>
      <c r="AI309">
        <v>3</v>
      </c>
      <c r="AJ309">
        <v>3</v>
      </c>
      <c r="AK309">
        <v>80</v>
      </c>
      <c r="AL309">
        <v>1</v>
      </c>
      <c r="AM309">
        <v>18</v>
      </c>
      <c r="AN309">
        <v>2</v>
      </c>
      <c r="AO309">
        <v>7</v>
      </c>
      <c r="AP309">
        <v>7</v>
      </c>
      <c r="AQ309">
        <v>0</v>
      </c>
      <c r="AR309">
        <v>7</v>
      </c>
    </row>
    <row r="310" spans="1:44" x14ac:dyDescent="0.35">
      <c r="A310" t="s">
        <v>56</v>
      </c>
      <c r="B310" t="s">
        <v>45</v>
      </c>
      <c r="C310" t="s">
        <v>69</v>
      </c>
      <c r="D310" t="s">
        <v>59</v>
      </c>
      <c r="E310" t="s">
        <v>48</v>
      </c>
      <c r="F310" t="s">
        <v>49</v>
      </c>
      <c r="G310" t="s">
        <v>458</v>
      </c>
      <c r="H310">
        <v>498</v>
      </c>
      <c r="I310" t="s">
        <v>62</v>
      </c>
      <c r="J310" t="s">
        <v>52</v>
      </c>
      <c r="K310" t="s">
        <v>53</v>
      </c>
      <c r="L310" t="s">
        <v>56</v>
      </c>
      <c r="M310" t="s">
        <v>54</v>
      </c>
      <c r="N310">
        <v>1</v>
      </c>
      <c r="O310">
        <v>-2</v>
      </c>
      <c r="P310">
        <v>0</v>
      </c>
      <c r="Q310">
        <v>28</v>
      </c>
      <c r="R310">
        <v>0</v>
      </c>
      <c r="T310">
        <v>0</v>
      </c>
      <c r="U310">
        <v>1</v>
      </c>
      <c r="V310">
        <v>304</v>
      </c>
      <c r="W310">
        <v>9</v>
      </c>
      <c r="X310" t="s">
        <v>71</v>
      </c>
      <c r="Y310">
        <v>1</v>
      </c>
      <c r="Z310">
        <v>2</v>
      </c>
      <c r="AA310">
        <v>92</v>
      </c>
      <c r="AB310">
        <v>3</v>
      </c>
      <c r="AC310">
        <v>2</v>
      </c>
      <c r="AD310">
        <v>2</v>
      </c>
      <c r="AE310">
        <v>5253</v>
      </c>
      <c r="AF310">
        <v>20750</v>
      </c>
      <c r="AG310">
        <v>1</v>
      </c>
      <c r="AH310">
        <v>16</v>
      </c>
      <c r="AI310">
        <v>3</v>
      </c>
      <c r="AJ310">
        <v>4</v>
      </c>
      <c r="AK310">
        <v>80</v>
      </c>
      <c r="AL310">
        <v>0</v>
      </c>
      <c r="AM310">
        <v>7</v>
      </c>
      <c r="AN310">
        <v>3</v>
      </c>
      <c r="AO310">
        <v>7</v>
      </c>
      <c r="AP310">
        <v>5</v>
      </c>
      <c r="AQ310">
        <v>0</v>
      </c>
      <c r="AR310">
        <v>7</v>
      </c>
    </row>
    <row r="311" spans="1:44" x14ac:dyDescent="0.35">
      <c r="A311" t="s">
        <v>44</v>
      </c>
      <c r="B311" t="s">
        <v>45</v>
      </c>
      <c r="C311" t="s">
        <v>46</v>
      </c>
      <c r="D311" t="s">
        <v>47</v>
      </c>
      <c r="E311" t="s">
        <v>48</v>
      </c>
      <c r="F311" t="s">
        <v>106</v>
      </c>
      <c r="G311" t="s">
        <v>452</v>
      </c>
      <c r="H311">
        <v>492</v>
      </c>
      <c r="I311" t="s">
        <v>62</v>
      </c>
      <c r="J311" t="s">
        <v>52</v>
      </c>
      <c r="K311" t="s">
        <v>64</v>
      </c>
      <c r="L311" t="s">
        <v>44</v>
      </c>
      <c r="M311" t="s">
        <v>54</v>
      </c>
      <c r="N311">
        <v>6</v>
      </c>
      <c r="O311">
        <v>-2</v>
      </c>
      <c r="P311">
        <v>0</v>
      </c>
      <c r="Q311">
        <v>40</v>
      </c>
      <c r="R311">
        <v>1</v>
      </c>
      <c r="S311">
        <v>1</v>
      </c>
      <c r="T311">
        <v>1</v>
      </c>
      <c r="U311">
        <v>0</v>
      </c>
      <c r="V311">
        <v>575</v>
      </c>
      <c r="W311">
        <v>22</v>
      </c>
      <c r="X311" t="s">
        <v>55</v>
      </c>
      <c r="Y311">
        <v>1</v>
      </c>
      <c r="Z311">
        <v>3</v>
      </c>
      <c r="AA311">
        <v>68</v>
      </c>
      <c r="AB311">
        <v>2</v>
      </c>
      <c r="AC311">
        <v>2</v>
      </c>
      <c r="AD311">
        <v>1</v>
      </c>
      <c r="AE311">
        <v>6380</v>
      </c>
      <c r="AF311">
        <v>6110</v>
      </c>
      <c r="AG311">
        <v>2</v>
      </c>
      <c r="AH311">
        <v>12</v>
      </c>
      <c r="AI311">
        <v>3</v>
      </c>
      <c r="AJ311">
        <v>1</v>
      </c>
      <c r="AK311">
        <v>80</v>
      </c>
      <c r="AL311">
        <v>2</v>
      </c>
      <c r="AM311">
        <v>8</v>
      </c>
      <c r="AN311">
        <v>3</v>
      </c>
      <c r="AO311">
        <v>6</v>
      </c>
      <c r="AP311">
        <v>4</v>
      </c>
      <c r="AQ311">
        <v>1</v>
      </c>
      <c r="AR311">
        <v>0</v>
      </c>
    </row>
    <row r="312" spans="1:44" x14ac:dyDescent="0.35">
      <c r="A312" t="s">
        <v>44</v>
      </c>
      <c r="B312" t="s">
        <v>57</v>
      </c>
      <c r="C312" t="s">
        <v>46</v>
      </c>
      <c r="D312" t="s">
        <v>47</v>
      </c>
      <c r="E312" t="s">
        <v>48</v>
      </c>
      <c r="F312" t="s">
        <v>106</v>
      </c>
      <c r="G312" t="s">
        <v>450</v>
      </c>
      <c r="H312">
        <v>488</v>
      </c>
      <c r="I312" t="s">
        <v>62</v>
      </c>
      <c r="J312" t="s">
        <v>52</v>
      </c>
      <c r="K312" t="s">
        <v>53</v>
      </c>
      <c r="L312" t="s">
        <v>56</v>
      </c>
      <c r="M312" t="s">
        <v>54</v>
      </c>
      <c r="N312">
        <v>5</v>
      </c>
      <c r="O312">
        <v>-2</v>
      </c>
      <c r="P312">
        <v>0</v>
      </c>
      <c r="Q312">
        <v>41</v>
      </c>
      <c r="R312">
        <v>1</v>
      </c>
      <c r="S312">
        <v>1</v>
      </c>
      <c r="T312">
        <v>1</v>
      </c>
      <c r="U312">
        <v>0</v>
      </c>
      <c r="V312">
        <v>143</v>
      </c>
      <c r="W312">
        <v>4</v>
      </c>
      <c r="X312" t="s">
        <v>77</v>
      </c>
      <c r="Y312">
        <v>1</v>
      </c>
      <c r="Z312">
        <v>1</v>
      </c>
      <c r="AA312">
        <v>56</v>
      </c>
      <c r="AB312">
        <v>3</v>
      </c>
      <c r="AC312">
        <v>2</v>
      </c>
      <c r="AD312">
        <v>1</v>
      </c>
      <c r="AE312">
        <v>9355</v>
      </c>
      <c r="AF312">
        <v>9558</v>
      </c>
      <c r="AG312">
        <v>1</v>
      </c>
      <c r="AH312">
        <v>18</v>
      </c>
      <c r="AI312">
        <v>3</v>
      </c>
      <c r="AJ312">
        <v>3</v>
      </c>
      <c r="AK312">
        <v>80</v>
      </c>
      <c r="AL312">
        <v>0</v>
      </c>
      <c r="AM312">
        <v>8</v>
      </c>
      <c r="AN312">
        <v>3</v>
      </c>
      <c r="AO312">
        <v>8</v>
      </c>
      <c r="AP312">
        <v>7</v>
      </c>
      <c r="AQ312">
        <v>7</v>
      </c>
      <c r="AR312">
        <v>7</v>
      </c>
    </row>
    <row r="313" spans="1:44" x14ac:dyDescent="0.35">
      <c r="A313" t="s">
        <v>56</v>
      </c>
      <c r="B313" t="s">
        <v>57</v>
      </c>
      <c r="C313" t="s">
        <v>46</v>
      </c>
      <c r="D313" t="s">
        <v>59</v>
      </c>
      <c r="E313" t="s">
        <v>48</v>
      </c>
      <c r="F313" t="s">
        <v>72</v>
      </c>
      <c r="G313" t="s">
        <v>443</v>
      </c>
      <c r="H313">
        <v>481</v>
      </c>
      <c r="I313" t="s">
        <v>62</v>
      </c>
      <c r="J313" t="s">
        <v>52</v>
      </c>
      <c r="K313" t="s">
        <v>64</v>
      </c>
      <c r="L313" t="s">
        <v>56</v>
      </c>
      <c r="M313" t="s">
        <v>54</v>
      </c>
      <c r="N313">
        <v>2</v>
      </c>
      <c r="O313">
        <v>-2</v>
      </c>
      <c r="P313">
        <v>0</v>
      </c>
      <c r="Q313">
        <v>36</v>
      </c>
      <c r="R313">
        <v>0</v>
      </c>
      <c r="T313">
        <v>0</v>
      </c>
      <c r="U313">
        <v>1</v>
      </c>
      <c r="V313">
        <v>541</v>
      </c>
      <c r="W313">
        <v>3</v>
      </c>
      <c r="X313" t="s">
        <v>71</v>
      </c>
      <c r="Y313">
        <v>1</v>
      </c>
      <c r="Z313">
        <v>1</v>
      </c>
      <c r="AA313">
        <v>48</v>
      </c>
      <c r="AB313">
        <v>2</v>
      </c>
      <c r="AC313">
        <v>3</v>
      </c>
      <c r="AD313">
        <v>4</v>
      </c>
      <c r="AE313">
        <v>9699</v>
      </c>
      <c r="AF313">
        <v>7246</v>
      </c>
      <c r="AG313">
        <v>4</v>
      </c>
      <c r="AH313">
        <v>11</v>
      </c>
      <c r="AI313">
        <v>3</v>
      </c>
      <c r="AJ313">
        <v>1</v>
      </c>
      <c r="AK313">
        <v>80</v>
      </c>
      <c r="AL313">
        <v>1</v>
      </c>
      <c r="AM313">
        <v>16</v>
      </c>
      <c r="AN313">
        <v>3</v>
      </c>
      <c r="AO313">
        <v>13</v>
      </c>
      <c r="AP313">
        <v>9</v>
      </c>
      <c r="AQ313">
        <v>1</v>
      </c>
      <c r="AR313">
        <v>12</v>
      </c>
    </row>
    <row r="314" spans="1:44" x14ac:dyDescent="0.35">
      <c r="A314" t="s">
        <v>56</v>
      </c>
      <c r="B314" t="s">
        <v>91</v>
      </c>
      <c r="C314" t="s">
        <v>46</v>
      </c>
      <c r="D314" t="s">
        <v>59</v>
      </c>
      <c r="E314" t="s">
        <v>48</v>
      </c>
      <c r="F314" t="s">
        <v>72</v>
      </c>
      <c r="G314" t="s">
        <v>442</v>
      </c>
      <c r="H314">
        <v>479</v>
      </c>
      <c r="I314" t="s">
        <v>51</v>
      </c>
      <c r="J314" t="s">
        <v>52</v>
      </c>
      <c r="K314" t="s">
        <v>53</v>
      </c>
      <c r="L314" t="s">
        <v>56</v>
      </c>
      <c r="M314" t="s">
        <v>54</v>
      </c>
      <c r="N314">
        <v>6</v>
      </c>
      <c r="O314">
        <v>-2</v>
      </c>
      <c r="P314">
        <v>0</v>
      </c>
      <c r="Q314">
        <v>36</v>
      </c>
      <c r="R314">
        <v>0</v>
      </c>
      <c r="T314">
        <v>0</v>
      </c>
      <c r="U314">
        <v>1</v>
      </c>
      <c r="V314">
        <v>845</v>
      </c>
      <c r="W314">
        <v>1</v>
      </c>
      <c r="X314" t="s">
        <v>134</v>
      </c>
      <c r="Y314">
        <v>1</v>
      </c>
      <c r="Z314">
        <v>4</v>
      </c>
      <c r="AA314">
        <v>45</v>
      </c>
      <c r="AB314">
        <v>3</v>
      </c>
      <c r="AC314">
        <v>2</v>
      </c>
      <c r="AD314">
        <v>4</v>
      </c>
      <c r="AE314">
        <v>6653</v>
      </c>
      <c r="AF314">
        <v>15276</v>
      </c>
      <c r="AG314">
        <v>4</v>
      </c>
      <c r="AH314">
        <v>15</v>
      </c>
      <c r="AI314">
        <v>3</v>
      </c>
      <c r="AJ314">
        <v>2</v>
      </c>
      <c r="AK314">
        <v>80</v>
      </c>
      <c r="AL314">
        <v>0</v>
      </c>
      <c r="AM314">
        <v>7</v>
      </c>
      <c r="AN314">
        <v>3</v>
      </c>
      <c r="AO314">
        <v>1</v>
      </c>
      <c r="AP314">
        <v>0</v>
      </c>
      <c r="AQ314">
        <v>0</v>
      </c>
      <c r="AR314">
        <v>0</v>
      </c>
    </row>
    <row r="315" spans="1:44" x14ac:dyDescent="0.35">
      <c r="A315" t="s">
        <v>56</v>
      </c>
      <c r="B315" t="s">
        <v>45</v>
      </c>
      <c r="C315" t="s">
        <v>69</v>
      </c>
      <c r="D315" t="s">
        <v>59</v>
      </c>
      <c r="E315" t="s">
        <v>48</v>
      </c>
      <c r="F315" t="s">
        <v>49</v>
      </c>
      <c r="G315" t="s">
        <v>439</v>
      </c>
      <c r="H315">
        <v>476</v>
      </c>
      <c r="I315" t="s">
        <v>62</v>
      </c>
      <c r="J315" t="s">
        <v>52</v>
      </c>
      <c r="K315" t="s">
        <v>64</v>
      </c>
      <c r="L315" t="s">
        <v>56</v>
      </c>
      <c r="M315" t="s">
        <v>54</v>
      </c>
      <c r="N315">
        <v>3</v>
      </c>
      <c r="O315">
        <v>-2</v>
      </c>
      <c r="P315">
        <v>0</v>
      </c>
      <c r="Q315">
        <v>26</v>
      </c>
      <c r="R315">
        <v>0</v>
      </c>
      <c r="T315">
        <v>0</v>
      </c>
      <c r="U315">
        <v>1</v>
      </c>
      <c r="V315">
        <v>933</v>
      </c>
      <c r="W315">
        <v>1</v>
      </c>
      <c r="X315" t="s">
        <v>77</v>
      </c>
      <c r="Y315">
        <v>1</v>
      </c>
      <c r="Z315">
        <v>3</v>
      </c>
      <c r="AA315">
        <v>57</v>
      </c>
      <c r="AB315">
        <v>3</v>
      </c>
      <c r="AC315">
        <v>2</v>
      </c>
      <c r="AD315">
        <v>2</v>
      </c>
      <c r="AE315">
        <v>5296</v>
      </c>
      <c r="AF315">
        <v>20156</v>
      </c>
      <c r="AG315">
        <v>1</v>
      </c>
      <c r="AH315">
        <v>17</v>
      </c>
      <c r="AI315">
        <v>3</v>
      </c>
      <c r="AJ315">
        <v>2</v>
      </c>
      <c r="AK315">
        <v>80</v>
      </c>
      <c r="AL315">
        <v>1</v>
      </c>
      <c r="AM315">
        <v>8</v>
      </c>
      <c r="AN315">
        <v>3</v>
      </c>
      <c r="AO315">
        <v>8</v>
      </c>
      <c r="AP315">
        <v>7</v>
      </c>
      <c r="AQ315">
        <v>7</v>
      </c>
      <c r="AR315">
        <v>7</v>
      </c>
    </row>
    <row r="316" spans="1:44" x14ac:dyDescent="0.35">
      <c r="A316" t="s">
        <v>56</v>
      </c>
      <c r="B316" t="s">
        <v>91</v>
      </c>
      <c r="C316" t="s">
        <v>69</v>
      </c>
      <c r="D316" t="s">
        <v>59</v>
      </c>
      <c r="E316" t="s">
        <v>48</v>
      </c>
      <c r="F316" t="s">
        <v>113</v>
      </c>
      <c r="G316" t="s">
        <v>438</v>
      </c>
      <c r="H316">
        <v>475</v>
      </c>
      <c r="I316" t="s">
        <v>51</v>
      </c>
      <c r="J316" t="s">
        <v>52</v>
      </c>
      <c r="K316" t="s">
        <v>64</v>
      </c>
      <c r="L316" t="s">
        <v>44</v>
      </c>
      <c r="M316" t="s">
        <v>54</v>
      </c>
      <c r="N316">
        <v>2</v>
      </c>
      <c r="O316">
        <v>-2</v>
      </c>
      <c r="P316">
        <v>0</v>
      </c>
      <c r="Q316">
        <v>30</v>
      </c>
      <c r="R316">
        <v>0</v>
      </c>
      <c r="T316">
        <v>0</v>
      </c>
      <c r="U316">
        <v>1</v>
      </c>
      <c r="V316">
        <v>641</v>
      </c>
      <c r="W316">
        <v>25</v>
      </c>
      <c r="X316" t="s">
        <v>55</v>
      </c>
      <c r="Y316">
        <v>1</v>
      </c>
      <c r="Z316">
        <v>4</v>
      </c>
      <c r="AA316">
        <v>85</v>
      </c>
      <c r="AB316">
        <v>3</v>
      </c>
      <c r="AC316">
        <v>2</v>
      </c>
      <c r="AD316">
        <v>4</v>
      </c>
      <c r="AE316">
        <v>4736</v>
      </c>
      <c r="AF316">
        <v>6069</v>
      </c>
      <c r="AG316">
        <v>7</v>
      </c>
      <c r="AH316">
        <v>12</v>
      </c>
      <c r="AI316">
        <v>3</v>
      </c>
      <c r="AJ316">
        <v>2</v>
      </c>
      <c r="AK316">
        <v>80</v>
      </c>
      <c r="AL316">
        <v>1</v>
      </c>
      <c r="AM316">
        <v>4</v>
      </c>
      <c r="AN316">
        <v>4</v>
      </c>
      <c r="AO316">
        <v>2</v>
      </c>
      <c r="AP316">
        <v>2</v>
      </c>
      <c r="AQ316">
        <v>2</v>
      </c>
      <c r="AR316">
        <v>2</v>
      </c>
    </row>
    <row r="317" spans="1:44" x14ac:dyDescent="0.35">
      <c r="A317" t="s">
        <v>56</v>
      </c>
      <c r="B317" t="s">
        <v>91</v>
      </c>
      <c r="C317" t="s">
        <v>69</v>
      </c>
      <c r="D317" t="s">
        <v>59</v>
      </c>
      <c r="E317" t="s">
        <v>48</v>
      </c>
      <c r="F317" t="s">
        <v>49</v>
      </c>
      <c r="G317" t="s">
        <v>433</v>
      </c>
      <c r="H317">
        <v>469</v>
      </c>
      <c r="I317" t="s">
        <v>62</v>
      </c>
      <c r="J317" t="s">
        <v>52</v>
      </c>
      <c r="K317" t="s">
        <v>64</v>
      </c>
      <c r="L317" t="s">
        <v>56</v>
      </c>
      <c r="M317" t="s">
        <v>54</v>
      </c>
      <c r="N317">
        <v>3</v>
      </c>
      <c r="O317">
        <v>-2</v>
      </c>
      <c r="P317">
        <v>0</v>
      </c>
      <c r="Q317">
        <v>29</v>
      </c>
      <c r="R317">
        <v>0</v>
      </c>
      <c r="T317">
        <v>0</v>
      </c>
      <c r="U317">
        <v>1</v>
      </c>
      <c r="V317">
        <v>746</v>
      </c>
      <c r="W317">
        <v>2</v>
      </c>
      <c r="X317" t="s">
        <v>77</v>
      </c>
      <c r="Y317">
        <v>1</v>
      </c>
      <c r="Z317">
        <v>4</v>
      </c>
      <c r="AA317">
        <v>61</v>
      </c>
      <c r="AB317">
        <v>3</v>
      </c>
      <c r="AC317">
        <v>2</v>
      </c>
      <c r="AD317">
        <v>2</v>
      </c>
      <c r="AE317">
        <v>4649</v>
      </c>
      <c r="AF317">
        <v>16928</v>
      </c>
      <c r="AG317">
        <v>1</v>
      </c>
      <c r="AH317">
        <v>14</v>
      </c>
      <c r="AI317">
        <v>3</v>
      </c>
      <c r="AJ317">
        <v>1</v>
      </c>
      <c r="AK317">
        <v>80</v>
      </c>
      <c r="AL317">
        <v>1</v>
      </c>
      <c r="AM317">
        <v>4</v>
      </c>
      <c r="AN317">
        <v>2</v>
      </c>
      <c r="AO317">
        <v>4</v>
      </c>
      <c r="AP317">
        <v>3</v>
      </c>
      <c r="AQ317">
        <v>0</v>
      </c>
      <c r="AR317">
        <v>2</v>
      </c>
    </row>
    <row r="318" spans="1:44" x14ac:dyDescent="0.35">
      <c r="A318" t="s">
        <v>56</v>
      </c>
      <c r="B318" t="s">
        <v>45</v>
      </c>
      <c r="C318" t="s">
        <v>69</v>
      </c>
      <c r="D318" t="s">
        <v>59</v>
      </c>
      <c r="E318" t="s">
        <v>48</v>
      </c>
      <c r="F318" t="s">
        <v>106</v>
      </c>
      <c r="G318" t="s">
        <v>427</v>
      </c>
      <c r="H318">
        <v>463</v>
      </c>
      <c r="I318" t="s">
        <v>51</v>
      </c>
      <c r="J318" t="s">
        <v>52</v>
      </c>
      <c r="K318" t="s">
        <v>79</v>
      </c>
      <c r="L318" t="s">
        <v>44</v>
      </c>
      <c r="M318" t="s">
        <v>54</v>
      </c>
      <c r="N318">
        <v>2</v>
      </c>
      <c r="O318">
        <v>-2</v>
      </c>
      <c r="P318">
        <v>0</v>
      </c>
      <c r="Q318">
        <v>29</v>
      </c>
      <c r="R318">
        <v>0</v>
      </c>
      <c r="T318">
        <v>0</v>
      </c>
      <c r="U318">
        <v>1</v>
      </c>
      <c r="V318">
        <v>144</v>
      </c>
      <c r="W318">
        <v>10</v>
      </c>
      <c r="X318" t="s">
        <v>65</v>
      </c>
      <c r="Y318">
        <v>1</v>
      </c>
      <c r="Z318">
        <v>4</v>
      </c>
      <c r="AA318">
        <v>39</v>
      </c>
      <c r="AB318">
        <v>2</v>
      </c>
      <c r="AC318">
        <v>2</v>
      </c>
      <c r="AD318">
        <v>1</v>
      </c>
      <c r="AE318">
        <v>8268</v>
      </c>
      <c r="AF318">
        <v>11866</v>
      </c>
      <c r="AG318">
        <v>1</v>
      </c>
      <c r="AH318">
        <v>14</v>
      </c>
      <c r="AI318">
        <v>3</v>
      </c>
      <c r="AJ318">
        <v>1</v>
      </c>
      <c r="AK318">
        <v>80</v>
      </c>
      <c r="AL318">
        <v>2</v>
      </c>
      <c r="AM318">
        <v>7</v>
      </c>
      <c r="AN318">
        <v>3</v>
      </c>
      <c r="AO318">
        <v>7</v>
      </c>
      <c r="AP318">
        <v>7</v>
      </c>
      <c r="AQ318">
        <v>1</v>
      </c>
      <c r="AR318">
        <v>7</v>
      </c>
    </row>
    <row r="319" spans="1:44" x14ac:dyDescent="0.35">
      <c r="A319" t="s">
        <v>56</v>
      </c>
      <c r="B319" t="s">
        <v>45</v>
      </c>
      <c r="C319" t="s">
        <v>69</v>
      </c>
      <c r="D319" t="s">
        <v>59</v>
      </c>
      <c r="E319" t="s">
        <v>48</v>
      </c>
      <c r="F319" t="s">
        <v>106</v>
      </c>
      <c r="G319" t="s">
        <v>423</v>
      </c>
      <c r="H319">
        <v>458</v>
      </c>
      <c r="I319" t="s">
        <v>51</v>
      </c>
      <c r="J319" t="s">
        <v>52</v>
      </c>
      <c r="K319" t="s">
        <v>64</v>
      </c>
      <c r="L319" t="s">
        <v>56</v>
      </c>
      <c r="M319" t="s">
        <v>54</v>
      </c>
      <c r="N319">
        <v>3</v>
      </c>
      <c r="O319">
        <v>-2</v>
      </c>
      <c r="P319">
        <v>0</v>
      </c>
      <c r="Q319">
        <v>27</v>
      </c>
      <c r="R319">
        <v>0</v>
      </c>
      <c r="T319">
        <v>0</v>
      </c>
      <c r="U319">
        <v>1</v>
      </c>
      <c r="V319">
        <v>1130</v>
      </c>
      <c r="W319">
        <v>8</v>
      </c>
      <c r="X319" t="s">
        <v>71</v>
      </c>
      <c r="Y319">
        <v>1</v>
      </c>
      <c r="Z319">
        <v>2</v>
      </c>
      <c r="AA319">
        <v>56</v>
      </c>
      <c r="AB319">
        <v>3</v>
      </c>
      <c r="AC319">
        <v>2</v>
      </c>
      <c r="AD319">
        <v>1</v>
      </c>
      <c r="AE319">
        <v>6214</v>
      </c>
      <c r="AF319">
        <v>3415</v>
      </c>
      <c r="AG319">
        <v>1</v>
      </c>
      <c r="AH319">
        <v>18</v>
      </c>
      <c r="AI319">
        <v>3</v>
      </c>
      <c r="AJ319">
        <v>1</v>
      </c>
      <c r="AK319">
        <v>80</v>
      </c>
      <c r="AL319">
        <v>1</v>
      </c>
      <c r="AM319">
        <v>8</v>
      </c>
      <c r="AN319">
        <v>3</v>
      </c>
      <c r="AO319">
        <v>8</v>
      </c>
      <c r="AP319">
        <v>7</v>
      </c>
      <c r="AQ319">
        <v>0</v>
      </c>
      <c r="AR319">
        <v>7</v>
      </c>
    </row>
    <row r="320" spans="1:44" x14ac:dyDescent="0.35">
      <c r="A320" t="s">
        <v>56</v>
      </c>
      <c r="B320" t="s">
        <v>45</v>
      </c>
      <c r="C320" t="s">
        <v>69</v>
      </c>
      <c r="D320" t="s">
        <v>59</v>
      </c>
      <c r="E320" t="s">
        <v>48</v>
      </c>
      <c r="F320" t="s">
        <v>106</v>
      </c>
      <c r="G320" t="s">
        <v>422</v>
      </c>
      <c r="H320">
        <v>456</v>
      </c>
      <c r="I320" t="s">
        <v>51</v>
      </c>
      <c r="J320" t="s">
        <v>52</v>
      </c>
      <c r="K320" t="s">
        <v>79</v>
      </c>
      <c r="L320" t="s">
        <v>56</v>
      </c>
      <c r="M320" t="s">
        <v>54</v>
      </c>
      <c r="N320">
        <v>2</v>
      </c>
      <c r="O320">
        <v>-2</v>
      </c>
      <c r="P320">
        <v>0</v>
      </c>
      <c r="Q320">
        <v>30</v>
      </c>
      <c r="R320">
        <v>0</v>
      </c>
      <c r="T320">
        <v>0</v>
      </c>
      <c r="U320">
        <v>1</v>
      </c>
      <c r="V320">
        <v>570</v>
      </c>
      <c r="W320">
        <v>5</v>
      </c>
      <c r="X320" t="s">
        <v>77</v>
      </c>
      <c r="Y320">
        <v>1</v>
      </c>
      <c r="Z320">
        <v>4</v>
      </c>
      <c r="AA320">
        <v>30</v>
      </c>
      <c r="AB320">
        <v>2</v>
      </c>
      <c r="AC320">
        <v>2</v>
      </c>
      <c r="AD320">
        <v>1</v>
      </c>
      <c r="AE320">
        <v>6118</v>
      </c>
      <c r="AF320">
        <v>5431</v>
      </c>
      <c r="AG320">
        <v>1</v>
      </c>
      <c r="AH320">
        <v>13</v>
      </c>
      <c r="AI320">
        <v>3</v>
      </c>
      <c r="AJ320">
        <v>3</v>
      </c>
      <c r="AK320">
        <v>80</v>
      </c>
      <c r="AL320">
        <v>3</v>
      </c>
      <c r="AM320">
        <v>10</v>
      </c>
      <c r="AN320">
        <v>3</v>
      </c>
      <c r="AO320">
        <v>10</v>
      </c>
      <c r="AP320">
        <v>9</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46</v>
      </c>
      <c r="D324" t="s">
        <v>59</v>
      </c>
      <c r="E324" t="s">
        <v>48</v>
      </c>
      <c r="F324" t="s">
        <v>72</v>
      </c>
      <c r="G324" t="s">
        <v>419</v>
      </c>
      <c r="H324">
        <v>453</v>
      </c>
      <c r="I324" t="s">
        <v>62</v>
      </c>
      <c r="J324" t="s">
        <v>52</v>
      </c>
      <c r="K324" t="s">
        <v>64</v>
      </c>
      <c r="L324" t="s">
        <v>44</v>
      </c>
      <c r="M324" t="s">
        <v>54</v>
      </c>
      <c r="N324">
        <v>2</v>
      </c>
      <c r="O324">
        <v>-2</v>
      </c>
      <c r="P324">
        <v>0</v>
      </c>
      <c r="Q324">
        <v>40</v>
      </c>
      <c r="R324">
        <v>0</v>
      </c>
      <c r="T324">
        <v>0</v>
      </c>
      <c r="U324">
        <v>1</v>
      </c>
      <c r="V324">
        <v>1124</v>
      </c>
      <c r="W324">
        <v>1</v>
      </c>
      <c r="X324" t="s">
        <v>55</v>
      </c>
      <c r="Y324">
        <v>1</v>
      </c>
      <c r="Z324">
        <v>2</v>
      </c>
      <c r="AA324">
        <v>57</v>
      </c>
      <c r="AB324">
        <v>1</v>
      </c>
      <c r="AC324">
        <v>2</v>
      </c>
      <c r="AD324">
        <v>4</v>
      </c>
      <c r="AE324">
        <v>7457</v>
      </c>
      <c r="AF324">
        <v>13273</v>
      </c>
      <c r="AG324">
        <v>2</v>
      </c>
      <c r="AH324">
        <v>22</v>
      </c>
      <c r="AI324">
        <v>4</v>
      </c>
      <c r="AJ324">
        <v>3</v>
      </c>
      <c r="AK324">
        <v>80</v>
      </c>
      <c r="AL324">
        <v>3</v>
      </c>
      <c r="AM324">
        <v>6</v>
      </c>
      <c r="AN324">
        <v>2</v>
      </c>
      <c r="AO324">
        <v>4</v>
      </c>
      <c r="AP324">
        <v>3</v>
      </c>
      <c r="AQ324">
        <v>0</v>
      </c>
      <c r="AR324">
        <v>2</v>
      </c>
    </row>
    <row r="325" spans="1:44" x14ac:dyDescent="0.35">
      <c r="A325" t="s">
        <v>56</v>
      </c>
      <c r="B325" t="s">
        <v>91</v>
      </c>
      <c r="C325" t="s">
        <v>69</v>
      </c>
      <c r="D325" t="s">
        <v>59</v>
      </c>
      <c r="E325" t="s">
        <v>48</v>
      </c>
      <c r="F325" t="s">
        <v>106</v>
      </c>
      <c r="G325" t="s">
        <v>415</v>
      </c>
      <c r="H325">
        <v>449</v>
      </c>
      <c r="I325" t="s">
        <v>62</v>
      </c>
      <c r="J325" t="s">
        <v>52</v>
      </c>
      <c r="K325" t="s">
        <v>64</v>
      </c>
      <c r="L325" t="s">
        <v>44</v>
      </c>
      <c r="M325" t="s">
        <v>54</v>
      </c>
      <c r="N325">
        <v>0</v>
      </c>
      <c r="O325">
        <v>-2</v>
      </c>
      <c r="P325">
        <v>0</v>
      </c>
      <c r="Q325">
        <v>27</v>
      </c>
      <c r="R325">
        <v>0</v>
      </c>
      <c r="T325">
        <v>0</v>
      </c>
      <c r="U325">
        <v>1</v>
      </c>
      <c r="V325">
        <v>210</v>
      </c>
      <c r="W325">
        <v>1</v>
      </c>
      <c r="X325" t="s">
        <v>65</v>
      </c>
      <c r="Y325">
        <v>1</v>
      </c>
      <c r="Z325">
        <v>3</v>
      </c>
      <c r="AA325">
        <v>73</v>
      </c>
      <c r="AB325">
        <v>3</v>
      </c>
      <c r="AC325">
        <v>2</v>
      </c>
      <c r="AD325">
        <v>1</v>
      </c>
      <c r="AE325">
        <v>6349</v>
      </c>
      <c r="AF325">
        <v>22107</v>
      </c>
      <c r="AG325">
        <v>0</v>
      </c>
      <c r="AH325">
        <v>13</v>
      </c>
      <c r="AI325">
        <v>3</v>
      </c>
      <c r="AJ325">
        <v>4</v>
      </c>
      <c r="AK325">
        <v>80</v>
      </c>
      <c r="AL325">
        <v>1</v>
      </c>
      <c r="AM325">
        <v>6</v>
      </c>
      <c r="AN325">
        <v>3</v>
      </c>
      <c r="AO325">
        <v>5</v>
      </c>
      <c r="AP325">
        <v>4</v>
      </c>
      <c r="AQ325">
        <v>1</v>
      </c>
      <c r="AR325">
        <v>4</v>
      </c>
    </row>
    <row r="326" spans="1:44" x14ac:dyDescent="0.35">
      <c r="A326" t="s">
        <v>56</v>
      </c>
      <c r="B326" t="s">
        <v>57</v>
      </c>
      <c r="C326" t="s">
        <v>69</v>
      </c>
      <c r="D326" t="s">
        <v>59</v>
      </c>
      <c r="E326" t="s">
        <v>48</v>
      </c>
      <c r="F326" t="s">
        <v>106</v>
      </c>
      <c r="G326" t="s">
        <v>412</v>
      </c>
      <c r="H326">
        <v>446</v>
      </c>
      <c r="I326" t="s">
        <v>62</v>
      </c>
      <c r="J326" t="s">
        <v>52</v>
      </c>
      <c r="K326" t="s">
        <v>53</v>
      </c>
      <c r="L326" t="s">
        <v>56</v>
      </c>
      <c r="M326" t="s">
        <v>54</v>
      </c>
      <c r="N326">
        <v>6</v>
      </c>
      <c r="O326">
        <v>-2</v>
      </c>
      <c r="P326">
        <v>0</v>
      </c>
      <c r="Q326">
        <v>33</v>
      </c>
      <c r="R326">
        <v>0</v>
      </c>
      <c r="T326">
        <v>0</v>
      </c>
      <c r="U326">
        <v>1</v>
      </c>
      <c r="V326">
        <v>508</v>
      </c>
      <c r="W326">
        <v>10</v>
      </c>
      <c r="X326" t="s">
        <v>77</v>
      </c>
      <c r="Y326">
        <v>1</v>
      </c>
      <c r="Z326">
        <v>2</v>
      </c>
      <c r="AA326">
        <v>46</v>
      </c>
      <c r="AB326">
        <v>2</v>
      </c>
      <c r="AC326">
        <v>2</v>
      </c>
      <c r="AD326">
        <v>1</v>
      </c>
      <c r="AE326">
        <v>4682</v>
      </c>
      <c r="AF326">
        <v>4317</v>
      </c>
      <c r="AG326">
        <v>3</v>
      </c>
      <c r="AH326">
        <v>14</v>
      </c>
      <c r="AI326">
        <v>3</v>
      </c>
      <c r="AJ326">
        <v>3</v>
      </c>
      <c r="AK326">
        <v>80</v>
      </c>
      <c r="AL326">
        <v>0</v>
      </c>
      <c r="AM326">
        <v>9</v>
      </c>
      <c r="AN326">
        <v>2</v>
      </c>
      <c r="AO326">
        <v>7</v>
      </c>
      <c r="AP326">
        <v>7</v>
      </c>
      <c r="AQ326">
        <v>0</v>
      </c>
      <c r="AR326">
        <v>1</v>
      </c>
    </row>
    <row r="327" spans="1:44" x14ac:dyDescent="0.35">
      <c r="A327" t="s">
        <v>44</v>
      </c>
      <c r="B327" t="s">
        <v>45</v>
      </c>
      <c r="C327" t="s">
        <v>46</v>
      </c>
      <c r="D327" t="s">
        <v>47</v>
      </c>
      <c r="E327" t="s">
        <v>48</v>
      </c>
      <c r="F327" t="s">
        <v>72</v>
      </c>
      <c r="G327" t="s">
        <v>411</v>
      </c>
      <c r="H327">
        <v>445</v>
      </c>
      <c r="I327" t="s">
        <v>51</v>
      </c>
      <c r="J327" t="s">
        <v>52</v>
      </c>
      <c r="K327" t="s">
        <v>64</v>
      </c>
      <c r="L327" t="s">
        <v>44</v>
      </c>
      <c r="M327" t="s">
        <v>54</v>
      </c>
      <c r="N327">
        <v>3</v>
      </c>
      <c r="O327">
        <v>-2</v>
      </c>
      <c r="P327">
        <v>0</v>
      </c>
      <c r="Q327">
        <v>39</v>
      </c>
      <c r="R327">
        <v>1</v>
      </c>
      <c r="S327">
        <v>1</v>
      </c>
      <c r="T327">
        <v>1</v>
      </c>
      <c r="U327">
        <v>0</v>
      </c>
      <c r="V327">
        <v>1162</v>
      </c>
      <c r="W327">
        <v>3</v>
      </c>
      <c r="X327" t="s">
        <v>55</v>
      </c>
      <c r="Y327">
        <v>1</v>
      </c>
      <c r="Z327">
        <v>4</v>
      </c>
      <c r="AA327">
        <v>41</v>
      </c>
      <c r="AB327">
        <v>3</v>
      </c>
      <c r="AC327">
        <v>2</v>
      </c>
      <c r="AD327">
        <v>3</v>
      </c>
      <c r="AE327">
        <v>5238</v>
      </c>
      <c r="AF327">
        <v>17778</v>
      </c>
      <c r="AG327">
        <v>4</v>
      </c>
      <c r="AH327">
        <v>18</v>
      </c>
      <c r="AI327">
        <v>3</v>
      </c>
      <c r="AJ327">
        <v>1</v>
      </c>
      <c r="AK327">
        <v>80</v>
      </c>
      <c r="AL327">
        <v>0</v>
      </c>
      <c r="AM327">
        <v>12</v>
      </c>
      <c r="AN327">
        <v>2</v>
      </c>
      <c r="AO327">
        <v>1</v>
      </c>
      <c r="AP327">
        <v>0</v>
      </c>
      <c r="AQ327">
        <v>0</v>
      </c>
      <c r="AR32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A69E1-C553-4299-8EC7-00775636610D}">
  <dimension ref="A3:E65"/>
  <sheetViews>
    <sheetView topLeftCell="B27" zoomScale="89" zoomScaleNormal="89" workbookViewId="0">
      <selection activeCell="N54" sqref="N54"/>
    </sheetView>
  </sheetViews>
  <sheetFormatPr defaultRowHeight="14.5" x14ac:dyDescent="0.35"/>
  <cols>
    <col min="1" max="1" width="23.81640625" bestFit="1" customWidth="1"/>
    <col min="2" max="2" width="23.26953125" bestFit="1" customWidth="1"/>
    <col min="3" max="3" width="12.36328125" bestFit="1" customWidth="1"/>
    <col min="4" max="4" width="22.6328125" bestFit="1" customWidth="1"/>
    <col min="5" max="5" width="13.26953125" bestFit="1" customWidth="1"/>
  </cols>
  <sheetData>
    <row r="3" spans="1:2" x14ac:dyDescent="0.35">
      <c r="A3" s="4" t="s">
        <v>1563</v>
      </c>
      <c r="B3" t="s">
        <v>1554</v>
      </c>
    </row>
    <row r="4" spans="1:2" x14ac:dyDescent="0.35">
      <c r="A4" s="5" t="s">
        <v>51</v>
      </c>
      <c r="B4" s="6">
        <v>592845</v>
      </c>
    </row>
    <row r="5" spans="1:2" x14ac:dyDescent="0.35">
      <c r="A5" s="5" t="s">
        <v>62</v>
      </c>
      <c r="B5" s="6">
        <v>913707</v>
      </c>
    </row>
    <row r="6" spans="1:2" x14ac:dyDescent="0.35">
      <c r="A6" s="5" t="s">
        <v>1564</v>
      </c>
      <c r="B6" s="6">
        <v>1506552</v>
      </c>
    </row>
    <row r="17" spans="1:2" x14ac:dyDescent="0.35">
      <c r="A17" s="4" t="s">
        <v>1563</v>
      </c>
      <c r="B17" t="s">
        <v>1565</v>
      </c>
    </row>
    <row r="18" spans="1:2" x14ac:dyDescent="0.35">
      <c r="A18" s="5" t="s">
        <v>134</v>
      </c>
      <c r="B18" s="6">
        <v>5</v>
      </c>
    </row>
    <row r="19" spans="1:2" x14ac:dyDescent="0.35">
      <c r="A19" s="5" t="s">
        <v>65</v>
      </c>
      <c r="B19" s="6">
        <v>31</v>
      </c>
    </row>
    <row r="20" spans="1:2" x14ac:dyDescent="0.35">
      <c r="A20" s="5" t="s">
        <v>55</v>
      </c>
      <c r="B20" s="6">
        <v>44</v>
      </c>
    </row>
    <row r="21" spans="1:2" x14ac:dyDescent="0.35">
      <c r="A21" s="5" t="s">
        <v>71</v>
      </c>
      <c r="B21" s="6">
        <v>58</v>
      </c>
    </row>
    <row r="22" spans="1:2" x14ac:dyDescent="0.35">
      <c r="A22" s="5" t="s">
        <v>77</v>
      </c>
      <c r="B22" s="6">
        <v>99</v>
      </c>
    </row>
    <row r="23" spans="1:2" x14ac:dyDescent="0.35">
      <c r="A23" s="5" t="s">
        <v>1564</v>
      </c>
      <c r="B23" s="6">
        <v>237</v>
      </c>
    </row>
    <row r="39" spans="1:2" x14ac:dyDescent="0.35">
      <c r="A39" s="4" t="s">
        <v>1563</v>
      </c>
      <c r="B39" t="s">
        <v>1565</v>
      </c>
    </row>
    <row r="40" spans="1:2" x14ac:dyDescent="0.35">
      <c r="A40" s="5" t="s">
        <v>161</v>
      </c>
      <c r="B40" s="6">
        <v>12</v>
      </c>
    </row>
    <row r="41" spans="1:2" x14ac:dyDescent="0.35">
      <c r="A41" s="5" t="s">
        <v>60</v>
      </c>
      <c r="B41" s="6">
        <v>133</v>
      </c>
    </row>
    <row r="42" spans="1:2" x14ac:dyDescent="0.35">
      <c r="A42" s="5" t="s">
        <v>48</v>
      </c>
      <c r="B42" s="6">
        <v>92</v>
      </c>
    </row>
    <row r="43" spans="1:2" x14ac:dyDescent="0.35">
      <c r="A43" s="5" t="s">
        <v>1564</v>
      </c>
      <c r="B43" s="6">
        <v>237</v>
      </c>
    </row>
    <row r="55" spans="1:5" x14ac:dyDescent="0.35">
      <c r="A55" s="4" t="s">
        <v>1563</v>
      </c>
      <c r="B55" t="s">
        <v>1565</v>
      </c>
      <c r="D55" t="s">
        <v>9</v>
      </c>
      <c r="E55" t="s">
        <v>1566</v>
      </c>
    </row>
    <row r="56" spans="1:5" x14ac:dyDescent="0.35">
      <c r="A56" s="5" t="s">
        <v>83</v>
      </c>
      <c r="B56" s="6">
        <v>9</v>
      </c>
      <c r="D56" s="5" t="s">
        <v>83</v>
      </c>
      <c r="E56">
        <f>GETPIVOTDATA("CF_attrition count",$A$55,"Job Role",D56)</f>
        <v>9</v>
      </c>
    </row>
    <row r="57" spans="1:5" x14ac:dyDescent="0.35">
      <c r="A57" s="5" t="s">
        <v>163</v>
      </c>
      <c r="B57" s="6">
        <v>12</v>
      </c>
      <c r="D57" s="5" t="s">
        <v>163</v>
      </c>
      <c r="E57">
        <f t="shared" ref="E57:E64" si="0">GETPIVOTDATA("CF_attrition count",$A$55,"Job Role",D57)</f>
        <v>12</v>
      </c>
    </row>
    <row r="58" spans="1:5" x14ac:dyDescent="0.35">
      <c r="A58" s="5" t="s">
        <v>68</v>
      </c>
      <c r="B58" s="6">
        <v>62</v>
      </c>
      <c r="D58" s="5" t="s">
        <v>68</v>
      </c>
      <c r="E58">
        <f t="shared" si="0"/>
        <v>62</v>
      </c>
    </row>
    <row r="59" spans="1:5" x14ac:dyDescent="0.35">
      <c r="A59" s="5" t="s">
        <v>95</v>
      </c>
      <c r="B59" s="6">
        <v>5</v>
      </c>
      <c r="D59" s="5" t="s">
        <v>95</v>
      </c>
      <c r="E59">
        <f t="shared" si="0"/>
        <v>5</v>
      </c>
    </row>
    <row r="60" spans="1:5" x14ac:dyDescent="0.35">
      <c r="A60" s="5" t="s">
        <v>81</v>
      </c>
      <c r="B60" s="6">
        <v>10</v>
      </c>
      <c r="D60" s="5" t="s">
        <v>81</v>
      </c>
      <c r="E60">
        <f t="shared" si="0"/>
        <v>10</v>
      </c>
    </row>
    <row r="61" spans="1:5" x14ac:dyDescent="0.35">
      <c r="A61" s="5" t="s">
        <v>101</v>
      </c>
      <c r="B61" s="6">
        <v>2</v>
      </c>
      <c r="D61" s="5" t="s">
        <v>101</v>
      </c>
      <c r="E61">
        <f t="shared" si="0"/>
        <v>2</v>
      </c>
    </row>
    <row r="62" spans="1:5" x14ac:dyDescent="0.35">
      <c r="A62" s="5" t="s">
        <v>63</v>
      </c>
      <c r="B62" s="6">
        <v>47</v>
      </c>
      <c r="D62" s="5" t="s">
        <v>63</v>
      </c>
      <c r="E62">
        <f t="shared" si="0"/>
        <v>47</v>
      </c>
    </row>
    <row r="63" spans="1:5" x14ac:dyDescent="0.35">
      <c r="A63" s="5" t="s">
        <v>52</v>
      </c>
      <c r="B63" s="6">
        <v>57</v>
      </c>
      <c r="D63" s="5" t="s">
        <v>52</v>
      </c>
      <c r="E63">
        <f t="shared" si="0"/>
        <v>57</v>
      </c>
    </row>
    <row r="64" spans="1:5" x14ac:dyDescent="0.35">
      <c r="A64" s="5" t="s">
        <v>99</v>
      </c>
      <c r="B64" s="6">
        <v>33</v>
      </c>
      <c r="D64" s="5" t="s">
        <v>99</v>
      </c>
      <c r="E64">
        <f t="shared" si="0"/>
        <v>33</v>
      </c>
    </row>
    <row r="65" spans="1:2" x14ac:dyDescent="0.35">
      <c r="A65" s="5" t="s">
        <v>1564</v>
      </c>
      <c r="B65" s="6">
        <v>237</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9FC2-C7C9-4DE8-88AC-5D2FFB959035}">
  <dimension ref="A3:F21"/>
  <sheetViews>
    <sheetView zoomScale="42" zoomScaleNormal="42" workbookViewId="0">
      <selection activeCell="U30" sqref="U30"/>
    </sheetView>
  </sheetViews>
  <sheetFormatPr defaultRowHeight="14.5" x14ac:dyDescent="0.35"/>
  <cols>
    <col min="1" max="2" width="19.81640625" bestFit="1" customWidth="1"/>
    <col min="3" max="3" width="31.453125" bestFit="1" customWidth="1"/>
    <col min="5" max="5" width="13.54296875" bestFit="1" customWidth="1"/>
    <col min="6" max="6" width="12.26953125" bestFit="1" customWidth="1"/>
  </cols>
  <sheetData>
    <row r="3" spans="1:2" x14ac:dyDescent="0.35">
      <c r="A3" s="4" t="s">
        <v>1563</v>
      </c>
      <c r="B3" t="s">
        <v>1565</v>
      </c>
    </row>
    <row r="4" spans="1:2" x14ac:dyDescent="0.35">
      <c r="A4" s="5" t="s">
        <v>92</v>
      </c>
      <c r="B4" s="6">
        <v>38</v>
      </c>
    </row>
    <row r="5" spans="1:2" x14ac:dyDescent="0.35">
      <c r="A5" s="5" t="s">
        <v>69</v>
      </c>
      <c r="B5" s="6">
        <v>112</v>
      </c>
    </row>
    <row r="6" spans="1:2" x14ac:dyDescent="0.35">
      <c r="A6" s="5" t="s">
        <v>46</v>
      </c>
      <c r="B6" s="6">
        <v>51</v>
      </c>
    </row>
    <row r="7" spans="1:2" x14ac:dyDescent="0.35">
      <c r="A7" s="5" t="s">
        <v>58</v>
      </c>
      <c r="B7" s="6">
        <v>25</v>
      </c>
    </row>
    <row r="8" spans="1:2" x14ac:dyDescent="0.35">
      <c r="A8" s="5" t="s">
        <v>75</v>
      </c>
      <c r="B8" s="6">
        <v>11</v>
      </c>
    </row>
    <row r="9" spans="1:2" x14ac:dyDescent="0.35">
      <c r="A9" s="5" t="s">
        <v>1564</v>
      </c>
      <c r="B9" s="6">
        <v>237</v>
      </c>
    </row>
    <row r="17" spans="2:6" x14ac:dyDescent="0.35">
      <c r="B17" s="4" t="s">
        <v>1563</v>
      </c>
      <c r="C17" t="s">
        <v>1565</v>
      </c>
      <c r="E17" t="s">
        <v>1567</v>
      </c>
      <c r="F17" t="s">
        <v>1568</v>
      </c>
    </row>
    <row r="18" spans="2:6" x14ac:dyDescent="0.35">
      <c r="B18" s="5" t="s">
        <v>79</v>
      </c>
      <c r="C18" s="6">
        <v>33</v>
      </c>
      <c r="E18" s="5" t="s">
        <v>79</v>
      </c>
      <c r="F18">
        <f>GETPIVOTDATA("CF_attrition count",$B$17,"Marital Status","Divorced")</f>
        <v>33</v>
      </c>
    </row>
    <row r="19" spans="2:6" x14ac:dyDescent="0.35">
      <c r="B19" s="5" t="s">
        <v>64</v>
      </c>
      <c r="C19" s="6">
        <v>84</v>
      </c>
      <c r="E19" s="5" t="s">
        <v>64</v>
      </c>
      <c r="F19">
        <f>GETPIVOTDATA("CF_attrition count",$B$17,"Marital Status","Married")</f>
        <v>84</v>
      </c>
    </row>
    <row r="20" spans="2:6" x14ac:dyDescent="0.35">
      <c r="B20" s="5" t="s">
        <v>53</v>
      </c>
      <c r="C20" s="6">
        <v>120</v>
      </c>
      <c r="E20" s="5" t="s">
        <v>53</v>
      </c>
      <c r="F20">
        <f>GETPIVOTDATA("CF_attrition count",$B$17,"Marital Status","Single")</f>
        <v>120</v>
      </c>
    </row>
    <row r="21" spans="2:6" x14ac:dyDescent="0.35">
      <c r="B21" s="5" t="s">
        <v>1564</v>
      </c>
      <c r="C21" s="6">
        <v>237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08FC-8DE6-4A66-9EA2-F82F1E978D3F}">
  <dimension ref="A1:O42"/>
  <sheetViews>
    <sheetView showGridLines="0" tabSelected="1" topLeftCell="A5" zoomScale="50" zoomScaleNormal="50" workbookViewId="0">
      <selection activeCell="S35" sqref="S35"/>
    </sheetView>
  </sheetViews>
  <sheetFormatPr defaultRowHeight="14.5" x14ac:dyDescent="0.35"/>
  <cols>
    <col min="7" max="7" width="26.1796875" bestFit="1" customWidth="1"/>
    <col min="8" max="8" width="41.90625" customWidth="1"/>
    <col min="9" max="9" width="35.08984375" customWidth="1"/>
    <col min="10" max="10" width="44.6328125" customWidth="1"/>
    <col min="11" max="11" width="48.81640625" customWidth="1"/>
  </cols>
  <sheetData>
    <row r="1" spans="1:15" x14ac:dyDescent="0.35">
      <c r="A1" s="8" t="s">
        <v>1569</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ht="24.5" x14ac:dyDescent="0.7">
      <c r="A5" s="9"/>
      <c r="B5" s="9"/>
      <c r="C5" s="9"/>
      <c r="D5" s="9"/>
      <c r="E5" s="9"/>
      <c r="F5" s="9"/>
      <c r="G5" s="10" t="s">
        <v>1558</v>
      </c>
      <c r="H5" s="10" t="s">
        <v>1559</v>
      </c>
      <c r="I5" s="10" t="s">
        <v>1560</v>
      </c>
      <c r="J5" s="10" t="s">
        <v>1561</v>
      </c>
      <c r="K5" s="10" t="s">
        <v>1562</v>
      </c>
      <c r="L5" s="9"/>
      <c r="M5" s="9"/>
      <c r="N5" s="9"/>
      <c r="O5" s="9"/>
    </row>
    <row r="6" spans="1:15" ht="21" x14ac:dyDescent="0.5">
      <c r="A6" s="9"/>
      <c r="B6" s="9"/>
      <c r="C6" s="9"/>
      <c r="D6" s="9"/>
      <c r="E6" s="9"/>
      <c r="F6" s="9"/>
      <c r="G6" s="11">
        <f>GETPIVOTDATA("Count of Employee Number",KPI!$A$3)</f>
        <v>1470</v>
      </c>
      <c r="H6" s="11">
        <f>GETPIVOTDATA("Sum of CF_attrition counts",KPI!$A$3)</f>
        <v>237</v>
      </c>
      <c r="I6" s="11">
        <f>GETPIVOTDATA("Average of Age",KPI!$A$3)</f>
        <v>36.923809523809524</v>
      </c>
      <c r="J6" s="11">
        <f>(G6-H6)</f>
        <v>1233</v>
      </c>
      <c r="K6" s="12">
        <f>(H6/G6)</f>
        <v>0.16122448979591836</v>
      </c>
      <c r="L6" s="9"/>
      <c r="M6" s="9"/>
      <c r="N6" s="9"/>
      <c r="O6" s="9"/>
    </row>
    <row r="7" spans="1:15" x14ac:dyDescent="0.35">
      <c r="A7" s="9"/>
      <c r="B7" s="9"/>
      <c r="C7" s="9"/>
      <c r="D7" s="9"/>
      <c r="E7" s="9"/>
      <c r="F7" s="9"/>
      <c r="G7" s="9"/>
      <c r="H7" s="9"/>
      <c r="I7" s="9"/>
      <c r="J7" s="9"/>
      <c r="K7" s="9"/>
      <c r="L7" s="9"/>
      <c r="M7" s="9"/>
      <c r="N7" s="9"/>
      <c r="O7" s="9"/>
    </row>
    <row r="8" spans="1:15" x14ac:dyDescent="0.35">
      <c r="A8" s="9"/>
      <c r="B8" s="9"/>
      <c r="C8" s="9"/>
      <c r="D8" s="9"/>
      <c r="E8" s="9"/>
      <c r="F8" s="9"/>
      <c r="G8" s="9"/>
      <c r="H8" s="9"/>
      <c r="I8" s="9"/>
      <c r="J8" s="9"/>
      <c r="K8" s="9"/>
      <c r="L8" s="9"/>
      <c r="M8" s="9"/>
      <c r="N8" s="9"/>
      <c r="O8" s="9"/>
    </row>
    <row r="9" spans="1:15" x14ac:dyDescent="0.35">
      <c r="A9" s="9"/>
      <c r="B9" s="9"/>
      <c r="C9" s="9"/>
      <c r="D9" s="9"/>
      <c r="E9" s="9"/>
      <c r="F9" s="9"/>
      <c r="G9" s="9"/>
      <c r="H9" s="9"/>
      <c r="I9" s="9"/>
      <c r="J9" s="9"/>
      <c r="K9" s="9"/>
      <c r="L9" s="9"/>
      <c r="M9" s="9"/>
      <c r="N9" s="9"/>
      <c r="O9" s="9"/>
    </row>
    <row r="10" spans="1:15" x14ac:dyDescent="0.35">
      <c r="A10" s="9"/>
      <c r="B10" s="9"/>
      <c r="C10" s="9"/>
      <c r="D10" s="9"/>
      <c r="E10" s="9"/>
      <c r="F10" s="9"/>
      <c r="G10" s="9"/>
      <c r="H10" s="9"/>
      <c r="I10" s="9"/>
      <c r="J10" s="9"/>
      <c r="K10" s="9"/>
      <c r="L10" s="9"/>
      <c r="M10" s="9"/>
      <c r="N10" s="9"/>
      <c r="O10" s="9"/>
    </row>
    <row r="11" spans="1:15" x14ac:dyDescent="0.35">
      <c r="A11" s="9"/>
      <c r="B11" s="9"/>
      <c r="C11" s="9"/>
      <c r="D11" s="9"/>
      <c r="E11" s="9"/>
      <c r="F11" s="9"/>
      <c r="G11" s="9"/>
      <c r="H11" s="9"/>
      <c r="I11" s="9"/>
      <c r="J11" s="9"/>
      <c r="K11" s="9"/>
      <c r="L11" s="9"/>
      <c r="M11" s="9"/>
      <c r="N11" s="9"/>
      <c r="O11" s="9"/>
    </row>
    <row r="12" spans="1:15" x14ac:dyDescent="0.35">
      <c r="A12" s="9"/>
      <c r="B12" s="9"/>
      <c r="C12" s="9"/>
      <c r="D12" s="9"/>
      <c r="E12" s="9"/>
      <c r="F12" s="9"/>
      <c r="G12" s="9"/>
      <c r="H12" s="9"/>
      <c r="I12" s="9"/>
      <c r="J12" s="9"/>
      <c r="K12" s="9"/>
      <c r="L12" s="9"/>
      <c r="M12" s="9"/>
      <c r="N12" s="9"/>
      <c r="O12" s="9"/>
    </row>
    <row r="13" spans="1:15" x14ac:dyDescent="0.35">
      <c r="A13" s="9"/>
      <c r="B13" s="9"/>
      <c r="C13" s="9"/>
      <c r="D13" s="9"/>
      <c r="E13" s="9"/>
      <c r="F13" s="9"/>
      <c r="G13" s="9"/>
      <c r="H13" s="9"/>
      <c r="I13" s="9"/>
      <c r="J13" s="9"/>
      <c r="K13" s="9"/>
      <c r="L13" s="9"/>
      <c r="M13" s="9"/>
      <c r="N13" s="9"/>
      <c r="O13" s="9"/>
    </row>
    <row r="14" spans="1:15" x14ac:dyDescent="0.35">
      <c r="A14" s="9"/>
      <c r="B14" s="9"/>
      <c r="C14" s="9"/>
      <c r="D14" s="9"/>
      <c r="E14" s="9"/>
      <c r="F14" s="9"/>
      <c r="G14" s="9"/>
      <c r="H14" s="9"/>
      <c r="I14" s="9"/>
      <c r="J14" s="9"/>
      <c r="K14" s="9"/>
      <c r="L14" s="9"/>
      <c r="M14" s="9"/>
      <c r="N14" s="9"/>
      <c r="O14" s="9"/>
    </row>
    <row r="15" spans="1:15" x14ac:dyDescent="0.35">
      <c r="A15" s="9"/>
      <c r="B15" s="9"/>
      <c r="C15" s="9"/>
      <c r="D15" s="9"/>
      <c r="E15" s="9"/>
      <c r="F15" s="9"/>
      <c r="G15" s="9"/>
      <c r="H15" s="9"/>
      <c r="I15" s="9"/>
      <c r="J15" s="9"/>
      <c r="K15" s="9"/>
      <c r="L15" s="9"/>
      <c r="M15" s="9"/>
      <c r="N15" s="9"/>
      <c r="O15" s="9"/>
    </row>
    <row r="16" spans="1:15" x14ac:dyDescent="0.35">
      <c r="A16" s="9"/>
      <c r="B16" s="9"/>
      <c r="C16" s="9"/>
      <c r="D16" s="9"/>
      <c r="E16" s="9"/>
      <c r="F16" s="9"/>
      <c r="G16" s="9"/>
      <c r="H16" s="9"/>
      <c r="I16" s="9"/>
      <c r="J16" s="9"/>
      <c r="K16" s="9"/>
      <c r="L16" s="9"/>
      <c r="M16" s="9"/>
      <c r="N16" s="9"/>
      <c r="O16" s="9"/>
    </row>
    <row r="17" spans="1:15" x14ac:dyDescent="0.35">
      <c r="A17" s="9"/>
      <c r="B17" s="9"/>
      <c r="C17" s="9"/>
      <c r="D17" s="9"/>
      <c r="E17" s="9"/>
      <c r="F17" s="9"/>
      <c r="G17" s="9"/>
      <c r="H17" s="9"/>
      <c r="I17" s="9"/>
      <c r="J17" s="9"/>
      <c r="K17" s="9"/>
      <c r="L17" s="9"/>
      <c r="M17" s="9"/>
      <c r="N17" s="9"/>
      <c r="O17" s="9"/>
    </row>
    <row r="18" spans="1:15" x14ac:dyDescent="0.35">
      <c r="A18" s="9"/>
      <c r="B18" s="9"/>
      <c r="C18" s="9"/>
      <c r="D18" s="9"/>
      <c r="E18" s="9"/>
      <c r="F18" s="9"/>
      <c r="G18" s="9"/>
      <c r="H18" s="9"/>
      <c r="I18" s="9"/>
      <c r="J18" s="9"/>
      <c r="K18" s="9"/>
      <c r="L18" s="9"/>
      <c r="M18" s="9"/>
      <c r="N18" s="9"/>
      <c r="O18" s="9"/>
    </row>
    <row r="19" spans="1:15" x14ac:dyDescent="0.35">
      <c r="A19" s="9"/>
      <c r="B19" s="9"/>
      <c r="C19" s="9"/>
      <c r="D19" s="9"/>
      <c r="E19" s="9"/>
      <c r="F19" s="9"/>
      <c r="G19" s="9"/>
      <c r="H19" s="9"/>
      <c r="I19" s="9"/>
      <c r="J19" s="9"/>
      <c r="K19" s="9"/>
      <c r="L19" s="9"/>
      <c r="M19" s="9"/>
      <c r="N19" s="9"/>
      <c r="O19" s="9"/>
    </row>
    <row r="20" spans="1:15" x14ac:dyDescent="0.35">
      <c r="A20" s="9"/>
      <c r="B20" s="9"/>
      <c r="C20" s="9"/>
      <c r="D20" s="9"/>
      <c r="E20" s="9"/>
      <c r="F20" s="9"/>
      <c r="G20" s="9"/>
      <c r="H20" s="9"/>
      <c r="I20" s="9"/>
      <c r="J20" s="9"/>
      <c r="K20" s="9"/>
      <c r="L20" s="9"/>
      <c r="M20" s="9"/>
      <c r="N20" s="9"/>
      <c r="O20" s="9"/>
    </row>
    <row r="21" spans="1:15" x14ac:dyDescent="0.35">
      <c r="A21" s="9"/>
      <c r="B21" s="9"/>
      <c r="C21" s="9"/>
      <c r="D21" s="9"/>
      <c r="E21" s="9"/>
      <c r="F21" s="9"/>
      <c r="G21" s="9"/>
      <c r="H21" s="9"/>
      <c r="I21" s="9"/>
      <c r="J21" s="9"/>
      <c r="K21" s="9"/>
      <c r="L21" s="9"/>
      <c r="M21" s="9"/>
      <c r="N21" s="9"/>
      <c r="O21" s="9"/>
    </row>
    <row r="22" spans="1:15" x14ac:dyDescent="0.35">
      <c r="A22" s="9"/>
      <c r="B22" s="9"/>
      <c r="C22" s="9"/>
      <c r="D22" s="9"/>
      <c r="E22" s="9"/>
      <c r="F22" s="9"/>
      <c r="G22" s="9"/>
      <c r="H22" s="9"/>
      <c r="I22" s="9"/>
      <c r="J22" s="9"/>
      <c r="K22" s="9"/>
      <c r="L22" s="9"/>
      <c r="M22" s="9"/>
      <c r="N22" s="9"/>
      <c r="O22" s="9"/>
    </row>
    <row r="23" spans="1:15" x14ac:dyDescent="0.35">
      <c r="A23" s="9"/>
      <c r="B23" s="9"/>
      <c r="C23" s="9"/>
      <c r="D23" s="9"/>
      <c r="E23" s="9"/>
      <c r="F23" s="9"/>
      <c r="G23" s="9"/>
      <c r="H23" s="9"/>
      <c r="I23" s="9"/>
      <c r="J23" s="9"/>
      <c r="K23" s="9"/>
      <c r="L23" s="9"/>
      <c r="M23" s="9"/>
      <c r="N23" s="9"/>
      <c r="O23" s="9"/>
    </row>
    <row r="24" spans="1:15" x14ac:dyDescent="0.35">
      <c r="A24" s="9"/>
      <c r="B24" s="9"/>
      <c r="C24" s="9"/>
      <c r="D24" s="9"/>
      <c r="E24" s="9"/>
      <c r="F24" s="9"/>
      <c r="G24" s="9"/>
      <c r="H24" s="9"/>
      <c r="I24" s="9"/>
      <c r="J24" s="9"/>
      <c r="K24" s="9"/>
      <c r="L24" s="9"/>
      <c r="M24" s="9"/>
      <c r="N24" s="9"/>
      <c r="O24" s="9"/>
    </row>
    <row r="25" spans="1:15" x14ac:dyDescent="0.35">
      <c r="A25" s="9"/>
      <c r="B25" s="9"/>
      <c r="C25" s="9"/>
      <c r="D25" s="9"/>
      <c r="E25" s="9"/>
      <c r="F25" s="9"/>
      <c r="G25" s="9"/>
      <c r="H25" s="9"/>
      <c r="I25" s="9"/>
      <c r="J25" s="9"/>
      <c r="K25" s="9"/>
      <c r="L25" s="9"/>
      <c r="M25" s="9"/>
      <c r="N25" s="9"/>
      <c r="O25" s="9"/>
    </row>
    <row r="26" spans="1:15" x14ac:dyDescent="0.35">
      <c r="A26" s="9"/>
      <c r="B26" s="9"/>
      <c r="C26" s="9"/>
      <c r="D26" s="9"/>
      <c r="E26" s="9"/>
      <c r="F26" s="9"/>
      <c r="G26" s="9"/>
      <c r="H26" s="9"/>
      <c r="I26" s="9"/>
      <c r="J26" s="9"/>
      <c r="K26" s="9"/>
      <c r="L26" s="9"/>
      <c r="M26" s="9"/>
      <c r="N26" s="9"/>
      <c r="O26" s="9"/>
    </row>
    <row r="27" spans="1:15" x14ac:dyDescent="0.35">
      <c r="A27" s="9"/>
      <c r="B27" s="9"/>
      <c r="C27" s="9"/>
      <c r="D27" s="9"/>
      <c r="E27" s="9"/>
      <c r="F27" s="9"/>
      <c r="G27" s="9"/>
      <c r="H27" s="9"/>
      <c r="I27" s="9"/>
      <c r="J27" s="9"/>
      <c r="K27" s="9"/>
      <c r="L27" s="9"/>
      <c r="M27" s="9"/>
      <c r="N27" s="9"/>
      <c r="O27" s="9"/>
    </row>
    <row r="28" spans="1:15" x14ac:dyDescent="0.35">
      <c r="A28" s="9"/>
      <c r="B28" s="9"/>
      <c r="C28" s="9"/>
      <c r="D28" s="9"/>
      <c r="E28" s="9"/>
      <c r="F28" s="9"/>
      <c r="G28" s="9"/>
      <c r="H28" s="9"/>
      <c r="I28" s="9"/>
      <c r="J28" s="9"/>
      <c r="K28" s="9"/>
      <c r="L28" s="9"/>
      <c r="M28" s="9"/>
      <c r="N28" s="9"/>
      <c r="O28" s="9"/>
    </row>
    <row r="29" spans="1:15" x14ac:dyDescent="0.35">
      <c r="A29" s="9"/>
      <c r="B29" s="9"/>
      <c r="C29" s="9"/>
      <c r="D29" s="9"/>
      <c r="E29" s="9"/>
      <c r="F29" s="9"/>
      <c r="G29" s="9"/>
      <c r="H29" s="9"/>
      <c r="I29" s="9"/>
      <c r="J29" s="9"/>
      <c r="K29" s="9"/>
      <c r="L29" s="9"/>
      <c r="M29" s="9"/>
      <c r="N29" s="9"/>
      <c r="O29" s="9"/>
    </row>
    <row r="30" spans="1:15" x14ac:dyDescent="0.35">
      <c r="A30" s="9"/>
      <c r="B30" s="9"/>
      <c r="C30" s="9"/>
      <c r="D30" s="9"/>
      <c r="E30" s="9"/>
      <c r="F30" s="9"/>
      <c r="G30" s="9"/>
      <c r="H30" s="9"/>
      <c r="I30" s="9"/>
      <c r="J30" s="9"/>
      <c r="K30" s="9"/>
      <c r="L30" s="9"/>
      <c r="M30" s="9"/>
      <c r="N30" s="9"/>
      <c r="O30" s="9"/>
    </row>
    <row r="31" spans="1:15" x14ac:dyDescent="0.35">
      <c r="A31" s="9"/>
      <c r="B31" s="9"/>
      <c r="C31" s="9"/>
      <c r="D31" s="9"/>
      <c r="E31" s="9"/>
      <c r="F31" s="9"/>
      <c r="G31" s="9"/>
      <c r="H31" s="9"/>
      <c r="I31" s="9"/>
      <c r="J31" s="9"/>
      <c r="K31" s="9"/>
      <c r="L31" s="9"/>
      <c r="M31" s="9"/>
      <c r="N31" s="9"/>
      <c r="O31" s="9"/>
    </row>
    <row r="32" spans="1:15" x14ac:dyDescent="0.35">
      <c r="A32" s="9"/>
      <c r="B32" s="9"/>
      <c r="C32" s="9"/>
      <c r="D32" s="9"/>
      <c r="E32" s="9"/>
      <c r="F32" s="9"/>
      <c r="G32" s="9"/>
      <c r="H32" s="9"/>
      <c r="I32" s="9"/>
      <c r="J32" s="9"/>
      <c r="K32" s="9"/>
      <c r="L32" s="9"/>
      <c r="M32" s="9"/>
      <c r="N32" s="9"/>
      <c r="O32" s="9"/>
    </row>
    <row r="33" spans="1:15" x14ac:dyDescent="0.35">
      <c r="A33" s="9"/>
      <c r="B33" s="9"/>
      <c r="C33" s="9"/>
      <c r="D33" s="9"/>
      <c r="E33" s="9"/>
      <c r="F33" s="9"/>
      <c r="G33" s="9"/>
      <c r="H33" s="9"/>
      <c r="I33" s="9"/>
      <c r="J33" s="9"/>
      <c r="K33" s="9"/>
      <c r="L33" s="9"/>
      <c r="M33" s="9"/>
      <c r="N33" s="9"/>
      <c r="O33" s="9"/>
    </row>
    <row r="34" spans="1:15" x14ac:dyDescent="0.35">
      <c r="A34" s="9"/>
      <c r="B34" s="9"/>
      <c r="C34" s="9"/>
      <c r="D34" s="9"/>
      <c r="E34" s="9"/>
      <c r="F34" s="9"/>
      <c r="G34" s="9"/>
      <c r="H34" s="9"/>
      <c r="I34" s="9"/>
      <c r="J34" s="9"/>
      <c r="K34" s="9"/>
      <c r="L34" s="9"/>
      <c r="M34" s="9"/>
      <c r="N34" s="9"/>
      <c r="O34" s="9"/>
    </row>
    <row r="35" spans="1:15" x14ac:dyDescent="0.35">
      <c r="A35" s="9"/>
      <c r="B35" s="9"/>
      <c r="C35" s="9"/>
      <c r="D35" s="9"/>
      <c r="E35" s="9"/>
      <c r="F35" s="9"/>
      <c r="G35" s="9"/>
      <c r="H35" s="9"/>
      <c r="I35" s="9"/>
      <c r="J35" s="9"/>
      <c r="K35" s="9"/>
      <c r="L35" s="9"/>
      <c r="M35" s="9"/>
      <c r="N35" s="9"/>
      <c r="O35" s="9"/>
    </row>
    <row r="36" spans="1:15" x14ac:dyDescent="0.35">
      <c r="A36" s="9"/>
      <c r="B36" s="9"/>
      <c r="C36" s="9"/>
      <c r="D36" s="9"/>
      <c r="E36" s="9"/>
      <c r="F36" s="9"/>
      <c r="G36" s="9"/>
      <c r="H36" s="9"/>
      <c r="I36" s="9"/>
      <c r="J36" s="9"/>
      <c r="K36" s="9"/>
      <c r="L36" s="9"/>
      <c r="M36" s="9"/>
      <c r="N36" s="9"/>
      <c r="O36" s="9"/>
    </row>
    <row r="37" spans="1:15" x14ac:dyDescent="0.35">
      <c r="A37" s="9"/>
      <c r="B37" s="9"/>
      <c r="C37" s="9"/>
      <c r="D37" s="9"/>
      <c r="E37" s="9"/>
      <c r="F37" s="9"/>
      <c r="G37" s="9"/>
      <c r="H37" s="9"/>
      <c r="I37" s="9"/>
      <c r="J37" s="9"/>
      <c r="K37" s="9"/>
      <c r="L37" s="9"/>
      <c r="M37" s="9"/>
      <c r="N37" s="9"/>
      <c r="O37" s="9"/>
    </row>
    <row r="38" spans="1:15" x14ac:dyDescent="0.35">
      <c r="A38" s="9"/>
      <c r="B38" s="9"/>
      <c r="C38" s="9"/>
      <c r="D38" s="9"/>
      <c r="E38" s="9"/>
      <c r="F38" s="9"/>
      <c r="G38" s="9"/>
      <c r="H38" s="9"/>
      <c r="I38" s="9"/>
      <c r="J38" s="9"/>
      <c r="K38" s="9"/>
      <c r="L38" s="9"/>
      <c r="M38" s="9"/>
      <c r="N38" s="9"/>
      <c r="O38" s="9"/>
    </row>
    <row r="39" spans="1:15" x14ac:dyDescent="0.35">
      <c r="A39" s="9"/>
      <c r="B39" s="9"/>
      <c r="C39" s="9"/>
      <c r="D39" s="9"/>
      <c r="E39" s="9"/>
      <c r="F39" s="9"/>
      <c r="G39" s="9"/>
      <c r="H39" s="9"/>
      <c r="I39" s="9"/>
      <c r="J39" s="9"/>
      <c r="K39" s="9"/>
      <c r="L39" s="9"/>
      <c r="M39" s="9"/>
      <c r="N39" s="9"/>
      <c r="O39" s="9"/>
    </row>
    <row r="40" spans="1:15" x14ac:dyDescent="0.35">
      <c r="A40" s="9"/>
      <c r="B40" s="9"/>
      <c r="C40" s="9"/>
      <c r="D40" s="9"/>
      <c r="E40" s="9"/>
      <c r="F40" s="9"/>
      <c r="G40" s="9"/>
      <c r="H40" s="9"/>
      <c r="I40" s="9"/>
      <c r="J40" s="9"/>
      <c r="K40" s="9"/>
      <c r="L40" s="9"/>
      <c r="M40" s="9"/>
      <c r="N40" s="9"/>
      <c r="O40" s="9"/>
    </row>
    <row r="41" spans="1:15" x14ac:dyDescent="0.35">
      <c r="A41" s="9"/>
      <c r="B41" s="9"/>
      <c r="C41" s="9"/>
      <c r="D41" s="9"/>
      <c r="E41" s="9"/>
      <c r="F41" s="9"/>
      <c r="G41" s="9"/>
      <c r="H41" s="9"/>
      <c r="I41" s="9"/>
      <c r="J41" s="9"/>
      <c r="K41" s="9"/>
      <c r="L41" s="9"/>
      <c r="M41" s="9"/>
      <c r="N41" s="9"/>
      <c r="O41" s="9"/>
    </row>
    <row r="42" spans="1:15" x14ac:dyDescent="0.35">
      <c r="A42" s="9"/>
      <c r="B42" s="9"/>
      <c r="C42" s="9"/>
      <c r="D42" s="9"/>
      <c r="E42" s="9"/>
      <c r="F42" s="9"/>
      <c r="G42" s="9"/>
      <c r="H42" s="9"/>
      <c r="I42" s="9"/>
      <c r="J42" s="9"/>
      <c r="K42" s="9"/>
      <c r="L42" s="9"/>
      <c r="M42" s="9"/>
      <c r="N42" s="9"/>
      <c r="O42" s="9"/>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69B3-7B8F-4CC4-8A28-C270DD4F61AA}">
  <dimension ref="A1:AR1471"/>
  <sheetViews>
    <sheetView topLeftCell="A2" zoomScale="86" zoomScaleNormal="86" workbookViewId="0">
      <selection activeCell="E9" sqref="E9"/>
    </sheetView>
  </sheetViews>
  <sheetFormatPr defaultRowHeight="14.5" x14ac:dyDescent="0.35"/>
  <cols>
    <col min="1" max="1" width="8.36328125" bestFit="1" customWidth="1"/>
    <col min="2" max="2" width="15.90625" bestFit="1" customWidth="1"/>
    <col min="3" max="3" width="11.453125" bestFit="1" customWidth="1"/>
    <col min="4" max="4" width="16.7265625" bestFit="1" customWidth="1"/>
    <col min="5" max="5" width="11.1796875" bestFit="1" customWidth="1"/>
    <col min="6" max="6" width="15.90625" bestFit="1" customWidth="1"/>
    <col min="7" max="7" width="10.7265625" bestFit="1" customWidth="1"/>
    <col min="8" max="8" width="16.54296875" bestFit="1" customWidth="1"/>
    <col min="9" max="9" width="7.1796875" bestFit="1" customWidth="1"/>
    <col min="10" max="10" width="23" bestFit="1" customWidth="1"/>
    <col min="11" max="11" width="12.90625" bestFit="1" customWidth="1"/>
    <col min="12" max="12" width="9.6328125" bestFit="1" customWidth="1"/>
    <col min="13" max="13" width="7.1796875" bestFit="1" customWidth="1"/>
    <col min="14" max="14" width="21.36328125" bestFit="1"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Sheet1</vt:lpstr>
      <vt:lpstr>Gender &amp; Qualification</vt:lpstr>
      <vt:lpstr>Age and marriage</vt:lpstr>
      <vt:lpstr>Dashboard</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Suhani</cp:lastModifiedBy>
  <dcterms:created xsi:type="dcterms:W3CDTF">2024-10-15T17:46:40Z</dcterms:created>
  <dcterms:modified xsi:type="dcterms:W3CDTF">2026-10-18T19:15:53Z</dcterms:modified>
</cp:coreProperties>
</file>